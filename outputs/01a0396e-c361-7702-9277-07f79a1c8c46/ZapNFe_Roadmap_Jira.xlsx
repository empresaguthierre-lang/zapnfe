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3f281d29a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ea975ae4563b429d"/>
    <x:sheet xmlns:r="http://schemas.openxmlformats.org/officeDocument/2006/relationships" name="Backlog" sheetId="2" r:id="R863458c0f777469a"/>
    <x:sheet xmlns:r="http://schemas.openxmlformats.org/officeDocument/2006/relationships" name="Épicos" sheetId="3" r:id="Reca4686261f24b65"/>
    <x:sheet xmlns:r="http://schemas.openxmlformats.org/officeDocument/2006/relationships" name="Releases" sheetId="4" r:id="R692a7e0ac60542ee"/>
    <x:sheet xmlns:r="http://schemas.openxmlformats.org/officeDocument/2006/relationships" name="Sprints" sheetId="5" r:id="R2c5e41243f8b41e2"/>
    <x:sheet xmlns:r="http://schemas.openxmlformats.org/officeDocument/2006/relationships" name="Gates" sheetId="6" r:id="R91a309816e114414"/>
    <x:sheet xmlns:r="http://schemas.openxmlformats.org/officeDocument/2006/relationships" name="Riscos" sheetId="7" r:id="Rcfad3af794a248ed"/>
    <x:sheet xmlns:r="http://schemas.openxmlformats.org/officeDocument/2006/relationships" name="Critérios" sheetId="8" r:id="R717925b4b8154fc6"/>
    <x:sheet xmlns:r="http://schemas.openxmlformats.org/officeDocument/2006/relationships" name="Referências" sheetId="9" r:id="Radfd426ed2654347"/>
    <x:sheet xmlns:r="http://schemas.openxmlformats.org/officeDocument/2006/relationships" name="Configuração" sheetId="10" r:id="Red8167f29add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yyyy-mm-dd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FFFFFF"/>
      <x:name val="Carlito"/>
    </x:font>
    <x:font>
      <x:sz val="10"/>
      <x:color rgb="FF173042"/>
      <x:name val="Carlito"/>
    </x:font>
    <x:font>
      <x:b/>
      <x:sz val="11"/>
      <x:color rgb="FFFFFFFF"/>
      <x:name val="Carlito"/>
    </x:font>
    <x:font>
      <x:b/>
      <x:sz val="24"/>
      <x:color rgb="FF173042"/>
      <x:name val="Carlito"/>
    </x:font>
    <x:font>
      <x:b/>
      <x:sz val="22"/>
      <x:color rgb="FF2A9D8F"/>
      <x:name val="Carlito"/>
    </x:font>
    <x:font>
      <x:b/>
      <x:sz val="11"/>
      <x:color rgb="FF173042"/>
      <x:name val="Carlito"/>
    </x:font>
    <x:font>
      <x:sz val="11"/>
      <x:color rgb="FF17304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3557"/>
      </x:patternFill>
    </x:fill>
    <x:fill>
      <x:patternFill patternType="solid">
        <x:fgColor rgb="FF457B9D"/>
      </x:patternFill>
    </x:fill>
    <x:fill>
      <x:patternFill patternType="solid">
        <x:fgColor rgb="FFF2F8FA"/>
      </x:patternFill>
    </x:fill>
    <x:fill>
      <x:patternFill patternType="solid">
        <x:fgColor rgb="FFFFFFFF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FFF8E3"/>
      </x:patternFill>
    </x:fill>
  </x:fills>
  <x:borders count="18">
    <x:border/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top style="thin">
        <x:color rgb="FFD7E3E8"/>
      </x:top>
    </x:border>
    <x:border>
      <x:bottom style="thin">
        <x:color rgb="FFD7E3E8"/>
      </x:bottom>
    </x:border>
    <x:border>
      <x:left style="thin">
        <x:color rgb="FFE9C46A"/>
      </x:left>
      <x:top style="thin">
        <x:color rgb="FFE9C46A"/>
      </x:top>
    </x:border>
    <x:border>
      <x:top style="thin">
        <x:color rgb="FFE9C46A"/>
      </x:top>
    </x:border>
    <x:border>
      <x:right style="thin">
        <x:color rgb="FFE9C46A"/>
      </x:right>
      <x:top style="thin">
        <x:color rgb="FFE9C46A"/>
      </x:top>
    </x:border>
    <x:border>
      <x:left style="thin">
        <x:color rgb="FFE9C46A"/>
      </x:left>
      <x:bottom style="thin">
        <x:color rgb="FFE9C46A"/>
      </x:bottom>
    </x:border>
    <x:border>
      <x:bottom style="thin">
        <x:color rgb="FFE9C46A"/>
      </x:bottom>
    </x:border>
    <x:border>
      <x:right style="thin">
        <x:color rgb="FFE9C46A"/>
      </x:right>
      <x:bottom style="thin">
        <x:color rgb="FFE9C46A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3" xfId="0" applyNumberFormat="1" applyFont="1" applyFill="1" applyBorder="1"/>
    <x:xf numFmtId="0" fontId="5" fillId="5" borderId="11" xfId="0" applyNumberFormat="1" applyFont="1" applyFill="1" applyBorder="1"/>
    <x:xf numFmtId="0" fontId="5" fillId="5" borderId="1" xfId="0" applyNumberFormat="1" applyFont="1" applyFill="1" applyBorder="1"/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1" xfId="0" applyNumberFormat="1" applyFont="1" applyFill="1" applyBorder="1"/>
    <x:xf numFmtId="0" fontId="6" fillId="5" borderId="1" xfId="0" applyNumberFormat="1" applyFont="1" applyFill="1" applyBorder="1"/>
    <x:xf numFmtId="201" fontId="6" fillId="5" borderId="9" xfId="0" applyNumberFormat="1" applyFont="1" applyFill="1" applyBorder="1"/>
    <x:xf numFmtId="201" fontId="6" fillId="5" borderId="10" xfId="0" applyNumberFormat="1" applyFont="1" applyFill="1" applyBorder="1"/>
    <x:xf numFmtId="201" fontId="6" fillId="5" borderId="7" xfId="0" applyNumberFormat="1" applyFont="1" applyFill="1" applyBorder="1"/>
    <x:xf numFmtId="201" fontId="6" fillId="5" borderId="3" xfId="0" applyNumberFormat="1" applyFont="1" applyFill="1" applyBorder="1"/>
    <x:xf numFmtId="201" fontId="6" fillId="5" borderId="11" xfId="0" applyNumberFormat="1" applyFont="1" applyFill="1" applyBorder="1"/>
    <x:xf numFmtId="201" fontId="6" fillId="5" borderId="1" xfId="0" applyNumberFormat="1" applyFont="1" applyFill="1" applyBorder="1"/>
    <x:xf numFmtId="201" fontId="6" fillId="5" borderId="9" xfId="0" applyNumberFormat="1" applyFont="1" applyFill="1" applyBorder="1" applyAlignment="1">
      <x:alignment horizontal="center"/>
    </x:xf>
    <x:xf numFmtId="201" fontId="6" fillId="5" borderId="10" xfId="0" applyNumberFormat="1" applyFont="1" applyFill="1" applyBorder="1" applyAlignment="1">
      <x:alignment horizontal="center"/>
    </x:xf>
    <x:xf numFmtId="201" fontId="6" fillId="5" borderId="7" xfId="0" applyNumberFormat="1" applyFont="1" applyFill="1" applyBorder="1" applyAlignment="1">
      <x:alignment horizontal="center"/>
    </x:xf>
    <x:xf numFmtId="201" fontId="6" fillId="5" borderId="3" xfId="0" applyNumberFormat="1" applyFont="1" applyFill="1" applyBorder="1" applyAlignment="1">
      <x:alignment horizontal="center"/>
    </x:xf>
    <x:xf numFmtId="201" fontId="6" fillId="5" borderId="11" xfId="0" applyNumberFormat="1" applyFont="1" applyFill="1" applyBorder="1" applyAlignment="1">
      <x:alignment horizontal="center"/>
    </x:xf>
    <x:xf numFmtId="201" fontId="6" fillId="5" borderId="1" xfId="0" applyNumberFormat="1" applyFont="1" applyFill="1" applyBorder="1" applyAlignment="1">
      <x:alignment horizont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3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8" fillId="8" borderId="12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17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17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0" fontId="8" fillId="8" borderId="17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176144"/>
      </x:font>
      <x:fill>
        <x:patternFill patternType="solid">
          <x:bgColor rgb="FFDDF3E9"/>
        </x:patternFill>
      </x:fill>
    </x:dxf>
    <x:dxf>
      <x:font>
        <x:b/>
        <x:color rgb="FF8C2424"/>
      </x:font>
      <x:fill>
        <x:patternFill patternType="solid">
          <x:bgColor rgb="FFF7DADA"/>
        </x:patternFill>
      </x:fill>
    </x:dxf>
    <x:dxf>
      <x:font>
        <x:b/>
        <x:color rgb="FF785800"/>
      </x:font>
      <x:fill>
        <x:patternFill patternType="solid">
          <x:bgColor rgb="FFFFF0C7"/>
        </x:patternFill>
      </x:fill>
    </x:dxf>
    <x:dxf>
      <x:font>
        <x:b/>
        <x:color rgb="FF1D5574"/>
      </x:font>
      <x:fill>
        <x:patternFill patternType="solid">
          <x:bgColor rgb="FFDCECF5"/>
        </x:patternFill>
      </x:fill>
    </x:dxf>
    <x:dxf>
      <x:font>
        <x:b/>
        <x:color rgb="FF596973"/>
      </x:font>
      <x:fill>
        <x:patternFill patternType="solid">
          <x:bgColor rgb="FFE7ECEF"/>
        </x:patternFill>
      </x:fill>
    </x:dxf>
    <x:dxf>
      <x:font>
        <x:b/>
        <x:color rgb="FF8C2424"/>
      </x:font>
      <x:fill>
        <x:patternFill patternType="solid">
          <x:bgColor rgb="FFF7DADA"/>
        </x:patternFill>
      </x:fill>
    </x:dxf>
    <x:dxf>
      <x:font>
        <x:b/>
        <x:color rgb="FF785800"/>
      </x:font>
      <x:fill>
        <x:patternFill patternType="solid">
          <x:bgColor rgb="FFFFF0C7"/>
        </x:patternFill>
      </x:fill>
    </x:dxf>
    <x:dxf>
      <x:font>
        <x:b/>
        <x:color rgb="FF1D5574"/>
      </x:font>
      <x:fill>
        <x:patternFill patternType="solid">
          <x:bgColor rgb="FFDCECF5"/>
        </x:patternFill>
      </x:fill>
    </x:dxf>
    <x:dxf>
      <x:font>
        <x:b/>
        <x:color rgb="FF596973"/>
      </x:font>
      <x:fill>
        <x:patternFill patternType="solid">
          <x:bgColor rgb="FFE7ECEF"/>
        </x:patternFill>
      </x:fill>
    </x:dxf>
    <x:dxf>
      <x:font>
        <x:b/>
        <x:color rgb="FF176144"/>
      </x:font>
      <x:fill>
        <x:patternFill patternType="solid">
          <x:bgColor rgb="FFDDF3E9"/>
        </x:patternFill>
      </x:fill>
    </x:dxf>
    <x:dxf>
      <x:font>
        <x:b/>
        <x:color rgb="FF1D5574"/>
      </x:font>
      <x:fill>
        <x:patternFill patternType="solid">
          <x:bgColor rgb="FFDCECF5"/>
        </x:patternFill>
      </x:fill>
    </x:dxf>
    <x:dxf>
      <x:font>
        <x:b/>
        <x:color rgb="FF8C2424"/>
      </x:font>
      <x:fill>
        <x:patternFill patternType="solid">
          <x:bgColor rgb="FFF7D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91b0f21294ecb" /><Relationship Type="http://schemas.openxmlformats.org/officeDocument/2006/relationships/theme" Target="/xl/theme/theme1.xml" Id="R8935201e2d43442c" /><Relationship Type="http://schemas.openxmlformats.org/officeDocument/2006/relationships/sharedStrings" Target="/xl/sharedStrings.xml" Id="R3356e827beec46d3" /><Relationship Type="http://schemas.openxmlformats.org/officeDocument/2006/relationships/worksheet" Target="/xl/worksheets/sheet1.xml" Id="Rea975ae4563b429d" /><Relationship Type="http://schemas.openxmlformats.org/officeDocument/2006/relationships/worksheet" Target="/xl/worksheets/sheet2.xml" Id="R863458c0f777469a" /><Relationship Type="http://schemas.openxmlformats.org/officeDocument/2006/relationships/worksheet" Target="/xl/worksheets/sheet3.xml" Id="Reca4686261f24b65" /><Relationship Type="http://schemas.openxmlformats.org/officeDocument/2006/relationships/worksheet" Target="/xl/worksheets/sheet4.xml" Id="R692a7e0ac60542ee" /><Relationship Type="http://schemas.openxmlformats.org/officeDocument/2006/relationships/worksheet" Target="/xl/worksheets/sheet5.xml" Id="R2c5e41243f8b41e2" /><Relationship Type="http://schemas.openxmlformats.org/officeDocument/2006/relationships/worksheet" Target="/xl/worksheets/sheet6.xml" Id="R91a309816e114414" /><Relationship Type="http://schemas.openxmlformats.org/officeDocument/2006/relationships/worksheet" Target="/xl/worksheets/sheet7.xml" Id="Rcfad3af794a248ed" /><Relationship Type="http://schemas.openxmlformats.org/officeDocument/2006/relationships/worksheet" Target="/xl/worksheets/sheet8.xml" Id="R717925b4b8154fc6" /><Relationship Type="http://schemas.openxmlformats.org/officeDocument/2006/relationships/worksheet" Target="/xl/worksheets/sheet9.xml" Id="Radfd426ed2654347" /><Relationship Type="http://schemas.openxmlformats.org/officeDocument/2006/relationships/worksheet" Target="/xl/worksheets/sheet10.xml" Id="Red8167f29add40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4d8a577d2746b5" /><Relationship Type="http://schemas.openxmlformats.org/officeDocument/2006/relationships/chart" Target="/xl/drawings/charts/chart2.xml" Id="Raf75e426e63044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por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Issues</c:v>
          </c:tx>
          <c:spPr>
            <a:solidFill xmlns:a="http://schemas.openxmlformats.org/drawingml/2006/main">
              <a:srgbClr val="457B9D"/>
            </a:solidFill>
          </c:spPr>
          <c:cat>
            <c:strRef>
              <c:f>'Painel'!$A$14:$A$21</c:f>
              <c:strCache>
                <c:ptCount val="0"/>
              </c:strCache>
            </c:strRef>
          </c:cat>
          <c:val>
            <c:numRef>
              <c:f>'Painel'!$B$14:$B$21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Issues por prioridade</a:t>
            </a:r>
          </a:p>
        </c:rich>
      </c:tx>
      <c:overlay val="0"/>
    </c:title>
    <c:plotArea>
      <c:doughnutChart>
        <c:ser>
          <c:idx val="0"/>
          <c:order val="0"/>
          <c:tx>
            <c:v>Issues</c:v>
          </c:tx>
          <c:cat>
            <c:strRef>
              <c:f>'Painel'!$D$14:$D$17</c:f>
              <c:strCache>
                <c:ptCount val="0"/>
              </c:strCache>
            </c:strRef>
          </c:cat>
          <c:val>
            <c:numRef>
              <c:f>'Painel'!$E$14:$E$17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d8a577d2746b5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75e426e63044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5:N139" headerRowCount="1" totalsRowCount="0" totalsRowShown="0">
  <x:autoFilter ref="A5:N139"/>
  <x:tableColumns count="14">
    <x:tableColumn id="1" name="Key"/>
    <x:tableColumn id="2" name="Épico"/>
    <x:tableColumn id="3" name="Tipo"/>
    <x:tableColumn id="4" name="Resumo"/>
    <x:tableColumn id="5" name="Prioridade"/>
    <x:tableColumn id="6" name="Story Points"/>
    <x:tableColumn id="7" name="Gate"/>
    <x:tableColumn id="8" name="Status"/>
    <x:tableColumn id="9" name="Responsável"/>
    <x:tableColumn id="10" name="Sprint"/>
    <x:tableColumn id="11" name="Release"/>
    <x:tableColumn id="12" name="Dependências"/>
    <x:tableColumn id="13" name="Critério mínimo"/>
    <x:tableColumn id="14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5:I19" headerRowCount="1" totalsRowCount="0" totalsRowShown="0">
  <x:tableColumns count="9">
    <x:tableColumn id="1" name="Key"/>
    <x:tableColumn id="2" name="Épico"/>
    <x:tableColumn id="3" name="Objetivo"/>
    <x:tableColumn id="4" name="Issues"/>
    <x:tableColumn id="5" name="SP"/>
    <x:tableColumn id="6" name="Done"/>
    <x:tableColumn id="7" name="Progresso"/>
    <x:tableColumn id="8" name="Release"/>
    <x:tableColumn id="9" name="Critérios de ace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sTable" displayName="ReleasesTable" ref="A5:H12" headerRowCount="1" totalsRowCount="0" totalsRowShown="0">
  <x:tableColumns count="8">
    <x:tableColumn id="1" name="Release"/>
    <x:tableColumn id="2" name="Sprints"/>
    <x:tableColumn id="3" name="Resultado verificável"/>
    <x:tableColumn id="4" name="Gates"/>
    <x:tableColumn id="5" name="Issues"/>
    <x:tableColumn id="6" name="SP"/>
    <x:tableColumn id="7" name="Done"/>
    <x:tableColumn id="8" name="Progress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rintsTable" displayName="SprintsTable" ref="A5:K14" headerRowCount="1" totalsRowCount="0" totalsRowShown="0">
  <x:tableColumns count="11">
    <x:tableColumn id="1" name="Sprint"/>
    <x:tableColumn id="2" name="Release"/>
    <x:tableColumn id="3" name="Objetivo"/>
    <x:tableColumn id="4" name="Gates"/>
    <x:tableColumn id="5" name="Status"/>
    <x:tableColumn id="6" name="Início"/>
    <x:tableColumn id="7" name="Fim"/>
    <x:tableColumn id="8" name="Capacidade SP"/>
    <x:tableColumn id="9" name="Planejado SP"/>
    <x:tableColumn id="10" name="Carga"/>
    <x:tableColumn id="11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tesTable" displayName="GatesTable" ref="A5:H12" headerRowCount="1" totalsRowCount="0" totalsRowShown="0">
  <x:tableColumns count="8">
    <x:tableColumn id="1" name="Gate"/>
    <x:tableColumn id="2" name="Dependência"/>
    <x:tableColumn id="3" name="Libera"/>
    <x:tableColumn id="4" name="Fornecimento seguro"/>
    <x:tableColumn id="5" name="Status"/>
    <x:tableColumn id="6" name="Responsável"/>
    <x:tableColumn id="7" name="Data alvo"/>
    <x:tableColumn id="8" name="Evidê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sTable" displayName="RisksTable" ref="A5:I15" headerRowCount="1" totalsRowCount="0" totalsRowShown="0">
  <x:tableColumns count="9">
    <x:tableColumn id="1" name="Risco"/>
    <x:tableColumn id="2" name="Probabilidade"/>
    <x:tableColumn id="3" name="Impacto"/>
    <x:tableColumn id="4" name="P score"/>
    <x:tableColumn id="5" name="I score"/>
    <x:tableColumn id="6" name="Score"/>
    <x:tableColumn id="7" name="Mitigação"/>
    <x:tableColumn id="8" name="Responsável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iteriaTable" displayName="CriteriaTable" ref="A5:D87" headerRowCount="1" totalsRowCount="0" totalsRowShown="0">
  <x:tableColumns count="4">
    <x:tableColumn id="1" name="Categoria"/>
    <x:tableColumn id="2" name="ID"/>
    <x:tableColumn id="3" name="Critério"/>
    <x:tableColumn id="4" name="Momento de verifica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ferencesTable" displayName="ReferencesTable" ref="A5:D14" headerRowCount="1" totalsRowCount="0" totalsRowShown="0">
  <x:tableColumns count="4">
    <x:tableColumn id="1" name="Fonte"/>
    <x:tableColumn id="2" name="URL/Caminho"/>
    <x:tableColumn id="3" name="Uso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e2cf3941e8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9884008415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8be4737c6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cc902c99c6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0785ac715c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c1faaf92444e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4d2ce63c3942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69397ee51d4c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94c9543f35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" hidden="0" customWidth="1"/>
    <x:col min="4" max="4" width="15" hidden="0" customWidth="1"/>
    <x:col min="5" max="5" width="12" hidden="0" customWidth="1"/>
    <x:col min="6" max="6" width="4" hidden="0" customWidth="1"/>
    <x:col min="7" max="7" width="15" hidden="0" customWidth="1"/>
    <x:col min="8" max="8" width="12" hidden="0" customWidth="1"/>
    <x:col min="9" max="9" width="5" hidden="0" customWidth="1"/>
    <x:col min="10" max="10" width="12" hidden="0" customWidth="1"/>
    <x:col min="11" max="11" width="12" hidden="0" customWidth="1"/>
    <x:col min="12" max="12" width="4" hidden="0" customWidth="1"/>
    <x:col min="13" max="13" width="12" hidden="0" customWidth="1"/>
    <x:col min="14" max="14" width="12" hidden="0" customWidth="1"/>
    <x:col min="15" max="15" width="12" hidden="0" customWidth="1"/>
    <x:col min="16" max="16" width="4" hidden="0" customWidth="1"/>
    <x:col min="17" max="17" width="12" hidden="0" customWidth="1"/>
  </x:cols>
  <x:sheetData>
    <x:row r="1" ht="34" customHeight="1">
      <x:c r="A1" s="3" t="str">
        <x:v>ZapNFe | Painel do Roadmap</x:v>
      </x:c>
      <x:c r="B1" s="3" t="str">
        <x:v>ZapNFe | Painel do Roadmap</x:v>
      </x:c>
      <x:c r="C1" s="3" t="str">
        <x:v>ZapNFe | Painel do Roadmap</x:v>
      </x:c>
      <x:c r="D1" s="3" t="str">
        <x:v>ZapNFe | Painel do Roadmap</x:v>
      </x:c>
      <x:c r="E1" s="3" t="str">
        <x:v>ZapNFe | Painel do Roadmap</x:v>
      </x:c>
      <x:c r="F1" s="3" t="str">
        <x:v>ZapNFe | Painel do Roadmap</x:v>
      </x:c>
      <x:c r="G1" s="3" t="str">
        <x:v>ZapNFe | Painel do Roadmap</x:v>
      </x:c>
      <x:c r="H1" s="3" t="str">
        <x:v>ZapNFe | Painel do Roadmap</x:v>
      </x:c>
      <x:c r="I1" s="3" t="str">
        <x:v>ZapNFe | Painel do Roadmap</x:v>
      </x:c>
      <x:c r="J1" s="3" t="str">
        <x:v>ZapNFe | Painel do Roadmap</x:v>
      </x:c>
      <x:c r="K1" s="3" t="str">
        <x:v>ZapNFe | Painel do Roadmap</x:v>
      </x:c>
      <x:c r="L1" s="3" t="str">
        <x:v>ZapNFe | Painel do Roadmap</x:v>
      </x:c>
      <x:c r="M1" s="3" t="str">
        <x:v>ZapNFe | Painel do Roadmap</x:v>
      </x:c>
      <x:c r="N1" s="3" t="str">
        <x:v>ZapNFe | Painel do Roadmap</x:v>
      </x:c>
      <x:c r="O1" s="3" t="str">
        <x:v>ZapNFe | Painel do Roadmap</x:v>
      </x:c>
      <x:c r="P1" s="3" t="str">
        <x:v>ZapNFe | Painel do Roadmap</x:v>
      </x:c>
      <x:c r="Q1" s="3" t="str">
        <x:v>ZapNFe | Painel do Roadmap</x:v>
      </x:c>
    </x:row>
    <x:row r="2" ht="24" customHeight="1">
      <x:c r="A2" s="6" t="str">
        <x:v>Visão executiva atualizada pelas abas Backlog, Épicos, Releases e Sprints</x:v>
      </x:c>
      <x:c r="B2" s="6" t="str">
        <x:v>Visão executiva atualizada pelas abas Backlog, Épicos, Releases e Sprints</x:v>
      </x:c>
      <x:c r="C2" s="6" t="str">
        <x:v>Visão executiva atualizada pelas abas Backlog, Épicos, Releases e Sprints</x:v>
      </x:c>
      <x:c r="D2" s="6" t="str">
        <x:v>Visão executiva atualizada pelas abas Backlog, Épicos, Releases e Sprints</x:v>
      </x:c>
      <x:c r="E2" s="6" t="str">
        <x:v>Visão executiva atualizada pelas abas Backlog, Épicos, Releases e Sprints</x:v>
      </x:c>
      <x:c r="F2" s="6" t="str">
        <x:v>Visão executiva atualizada pelas abas Backlog, Épicos, Releases e Sprints</x:v>
      </x:c>
      <x:c r="G2" s="6" t="str">
        <x:v>Visão executiva atualizada pelas abas Backlog, Épicos, Releases e Sprints</x:v>
      </x:c>
      <x:c r="H2" s="6" t="str">
        <x:v>Visão executiva atualizada pelas abas Backlog, Épicos, Releases e Sprints</x:v>
      </x:c>
      <x:c r="I2" s="6" t="str">
        <x:v>Visão executiva atualizada pelas abas Backlog, Épicos, Releases e Sprints</x:v>
      </x:c>
      <x:c r="J2" s="6" t="str">
        <x:v>Visão executiva atualizada pelas abas Backlog, Épicos, Releases e Sprints</x:v>
      </x:c>
      <x:c r="K2" s="6" t="str">
        <x:v>Visão executiva atualizada pelas abas Backlog, Épicos, Releases e Sprints</x:v>
      </x:c>
      <x:c r="L2" s="6" t="str">
        <x:v>Visão executiva atualizada pelas abas Backlog, Épicos, Releases e Sprints</x:v>
      </x:c>
      <x:c r="M2" s="6" t="str">
        <x:v>Visão executiva atualizada pelas abas Backlog, Épicos, Releases e Sprints</x:v>
      </x:c>
      <x:c r="N2" s="6" t="str">
        <x:v>Visão executiva atualizada pelas abas Backlog, Épicos, Releases e Sprints</x:v>
      </x:c>
      <x:c r="O2" s="6" t="str">
        <x:v>Visão executiva atualizada pelas abas Backlog, Épicos, Releases e Sprints</x:v>
      </x:c>
      <x:c r="P2" s="6" t="str">
        <x:v>Visão executiva atualizada pelas abas Backlog, Épicos, Releases e Sprints</x:v>
      </x:c>
      <x:c r="Q2" s="6" t="str">
        <x:v>Visão executiva atualizada pelas abas Backlog, Épicos, Releases e Sprints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>
      <x:c r="A4" s="27" t="str">
        <x:v>Issues</x:v>
      </x:c>
      <x:c r="B4" s="27" t="str">
        <x:v>Issues</x:v>
      </x:c>
      <x:c r="C4" s="27" t="str">
        <x:v>Issues</x:v>
      </x:c>
      <x:c r="E4" s="51" t="str">
        <x:v>Épicos</x:v>
      </x:c>
      <x:c r="F4" s="51" t="str">
        <x:v>Épicos</x:v>
      </x:c>
      <x:c r="G4" s="51" t="str">
        <x:v>Épicos</x:v>
      </x:c>
      <x:c r="I4" s="55" t="str">
        <x:v>Story Points</x:v>
      </x:c>
      <x:c r="J4" s="55" t="str">
        <x:v>Story Points</x:v>
      </x:c>
      <x:c r="K4" s="55" t="str">
        <x:v>Story Points</x:v>
      </x:c>
      <x:c r="M4" s="58" t="str">
        <x:v>Concluídas</x:v>
      </x:c>
      <x:c r="N4" s="58" t="str">
        <x:v>Concluídas</x:v>
      </x:c>
      <x:c r="O4" s="58" t="str">
        <x:v>Concluídas</x:v>
      </x:c>
    </x:row>
    <x:row r="5">
      <x:c r="A5" s="42" t="n">
        <x:f>COUNTA('Backlog'!$A$6:$A$139)</x:f>
        <x:v>134</x:v>
      </x:c>
      <x:c r="B5" s="43"/>
      <x:c r="C5" s="44"/>
      <x:c r="E5" s="42" t="n">
        <x:f>COUNTA('Épicos'!$A$6:$A$19)</x:f>
        <x:v>14</x:v>
      </x:c>
      <x:c r="F5" s="43"/>
      <x:c r="G5" s="44"/>
      <x:c r="I5" s="42" t="n">
        <x:f>SUM('Backlog'!$F$6:$F$139)</x:f>
        <x:v>757</x:v>
      </x:c>
      <x:c r="J5" s="43"/>
      <x:c r="K5" s="44"/>
      <x:c r="M5" s="42" t="n">
        <x:f>COUNTIF('Backlog'!$H$6:$H$139,"DONE")</x:f>
        <x:v>7</x:v>
      </x:c>
      <x:c r="N5" s="43"/>
      <x:c r="O5" s="44"/>
    </x:row>
    <x:row r="6">
      <x:c r="A6" s="45"/>
      <x:c r="B6" s="46"/>
      <x:c r="C6" s="47"/>
      <x:c r="E6" s="45"/>
      <x:c r="F6" s="46"/>
      <x:c r="G6" s="47"/>
      <x:c r="I6" s="45"/>
      <x:c r="J6" s="46"/>
      <x:c r="K6" s="47"/>
      <x:c r="M6" s="45"/>
      <x:c r="N6" s="46"/>
      <x:c r="O6" s="47"/>
    </x:row>
    <x:row r="8">
      <x:c r="A8" s="57" t="str">
        <x:v>Progresso geral</x:v>
      </x:c>
      <x:c r="B8" s="57" t="str">
        <x:v>Progresso geral</x:v>
      </x:c>
      <x:c r="C8" s="57" t="str">
        <x:v>Progresso geral</x:v>
      </x:c>
      <x:c r="E8" s="85" t="str">
        <x:v>Próximo marco: R1 — Operação navegável sem depender de integrações reais</x:v>
      </x:c>
      <x:c r="F8" s="85" t="str">
        <x:v>Próximo marco: R1 — Operação navegável sem depender de integrações reais</x:v>
      </x:c>
      <x:c r="G8" s="85" t="str">
        <x:v>Próximo marco: R1 — Operação navegável sem depender de integrações reais</x:v>
      </x:c>
      <x:c r="H8" s="85" t="str">
        <x:v>Próximo marco: R1 — Operação navegável sem depender de integrações reais</x:v>
      </x:c>
      <x:c r="I8" s="85" t="str">
        <x:v>Próximo marco: R1 — Operação navegável sem depender de integrações reais</x:v>
      </x:c>
      <x:c r="J8" s="85" t="str">
        <x:v>Próximo marco: R1 — Operação navegável sem depender de integrações reais</x:v>
      </x:c>
      <x:c r="K8" s="85" t="str">
        <x:v>Próximo marco: R1 — Operação navegável sem depender de integrações reais</x:v>
      </x:c>
      <x:c r="L8" s="85" t="str">
        <x:v>Próximo marco: R1 — Operação navegável sem depender de integrações reais</x:v>
      </x:c>
      <x:c r="M8" s="85" t="str">
        <x:v>Próximo marco: R1 — Operação navegável sem depender de integrações reais</x:v>
      </x:c>
      <x:c r="N8" s="85" t="str">
        <x:v>Próximo marco: R1 — Operação navegável sem depender de integrações reais</x:v>
      </x:c>
      <x:c r="O8" s="85" t="str">
        <x:v>Próximo marco: R1 — Operação navegável sem depender de integrações reais</x:v>
      </x:c>
    </x:row>
    <x:row r="9">
      <x:c r="A9" s="78" t="n">
        <x:f>IFERROR(COUNTIF('Backlog'!$H$6:$H$139,"DONE")/COUNTA('Backlog'!$A$6:$A$139),0)</x:f>
        <x:v>0.05223880597014925</x:v>
      </x:c>
      <x:c r="B9" s="79"/>
      <x:c r="C9" s="80"/>
      <x:c r="E9" s="106" t="str">
        <x:v>Começar por produtos, clientes, pedidos, conferência, mocks, testes e domínio fiscal. As chaves liberam a validação real, não o início do desenvolvimento.</x:v>
      </x:c>
      <x:c r="F9" s="107" t="str">
        <x:v>Começar por produtos, clientes, pedidos, conferência, mocks, testes e domínio fiscal. As chaves liberam a validação real, não o início do desenvolvimento.</x:v>
      </x:c>
      <x:c r="G9" s="107" t="str">
        <x:v>Começar por produtos, clientes, pedidos, conferência, mocks, testes e domínio fiscal. As chaves liberam a validação real, não o início do desenvolvimento.</x:v>
      </x:c>
      <x:c r="H9" s="107" t="str">
        <x:v>Começar por produtos, clientes, pedidos, conferência, mocks, testes e domínio fiscal. As chaves liberam a validação real, não o início do desenvolvimento.</x:v>
      </x:c>
      <x:c r="I9" s="107" t="str">
        <x:v>Começar por produtos, clientes, pedidos, conferência, mocks, testes e domínio fiscal. As chaves liberam a validação real, não o início do desenvolvimento.</x:v>
      </x:c>
      <x:c r="J9" s="107" t="str">
        <x:v>Começar por produtos, clientes, pedidos, conferência, mocks, testes e domínio fiscal. As chaves liberam a validação real, não o início do desenvolvimento.</x:v>
      </x:c>
      <x:c r="K9" s="107" t="str">
        <x:v>Começar por produtos, clientes, pedidos, conferência, mocks, testes e domínio fiscal. As chaves liberam a validação real, não o início do desenvolvimento.</x:v>
      </x:c>
      <x:c r="L9" s="107" t="str">
        <x:v>Começar por produtos, clientes, pedidos, conferência, mocks, testes e domínio fiscal. As chaves liberam a validação real, não o início do desenvolvimento.</x:v>
      </x:c>
      <x:c r="M9" s="107" t="str">
        <x:v>Começar por produtos, clientes, pedidos, conferência, mocks, testes e domínio fiscal. As chaves liberam a validação real, não o início do desenvolvimento.</x:v>
      </x:c>
      <x:c r="N9" s="107" t="str">
        <x:v>Começar por produtos, clientes, pedidos, conferência, mocks, testes e domínio fiscal. As chaves liberam a validação real, não o início do desenvolvimento.</x:v>
      </x:c>
      <x:c r="O9" s="108" t="str">
        <x:v>Começar por produtos, clientes, pedidos, conferência, mocks, testes e domínio fiscal. As chaves liberam a validação real, não o início do desenvolvimento.</x:v>
      </x:c>
    </x:row>
    <x:row r="10">
      <x:c r="A10" s="81"/>
      <x:c r="B10" s="82"/>
      <x:c r="C10" s="83"/>
      <x:c r="E10" s="109" t="str">
        <x:v>Começar por produtos, clientes, pedidos, conferência, mocks, testes e domínio fiscal. As chaves liberam a validação real, não o início do desenvolvimento.</x:v>
      </x:c>
      <x:c r="F10" s="110" t="str">
        <x:v>Começar por produtos, clientes, pedidos, conferência, mocks, testes e domínio fiscal. As chaves liberam a validação real, não o início do desenvolvimento.</x:v>
      </x:c>
      <x:c r="G10" s="110" t="str">
        <x:v>Começar por produtos, clientes, pedidos, conferência, mocks, testes e domínio fiscal. As chaves liberam a validação real, não o início do desenvolvimento.</x:v>
      </x:c>
      <x:c r="H10" s="110" t="str">
        <x:v>Começar por produtos, clientes, pedidos, conferência, mocks, testes e domínio fiscal. As chaves liberam a validação real, não o início do desenvolvimento.</x:v>
      </x:c>
      <x:c r="I10" s="110" t="str">
        <x:v>Começar por produtos, clientes, pedidos, conferência, mocks, testes e domínio fiscal. As chaves liberam a validação real, não o início do desenvolvimento.</x:v>
      </x:c>
      <x:c r="J10" s="110" t="str">
        <x:v>Começar por produtos, clientes, pedidos, conferência, mocks, testes e domínio fiscal. As chaves liberam a validação real, não o início do desenvolvimento.</x:v>
      </x:c>
      <x:c r="K10" s="110" t="str">
        <x:v>Começar por produtos, clientes, pedidos, conferência, mocks, testes e domínio fiscal. As chaves liberam a validação real, não o início do desenvolvimento.</x:v>
      </x:c>
      <x:c r="L10" s="110" t="str">
        <x:v>Começar por produtos, clientes, pedidos, conferência, mocks, testes e domínio fiscal. As chaves liberam a validação real, não o início do desenvolvimento.</x:v>
      </x:c>
      <x:c r="M10" s="110" t="str">
        <x:v>Começar por produtos, clientes, pedidos, conferência, mocks, testes e domínio fiscal. As chaves liberam a validação real, não o início do desenvolvimento.</x:v>
      </x:c>
      <x:c r="N10" s="110" t="str">
        <x:v>Começar por produtos, clientes, pedidos, conferência, mocks, testes e domínio fiscal. As chaves liberam a validação real, não o início do desenvolvimento.</x:v>
      </x:c>
      <x:c r="O10" s="111" t="str">
        <x:v>Começar por produtos, clientes, pedidos, conferência, mocks, testes e domínio fiscal. As chaves liberam a validação real, não o início do desenvolvimento.</x:v>
      </x:c>
    </x:row>
    <x:row r="13" ht="27" customHeight="1">
      <x:c r="A13" s="15" t="str">
        <x:v>Status</x:v>
      </x:c>
      <x:c r="B13" s="15" t="str">
        <x:v>Issues</x:v>
      </x:c>
      <x:c r="D13" s="15" t="str">
        <x:v>Prioridade</x:v>
      </x:c>
      <x:c r="E13" s="15" t="str">
        <x:v>Issues</x:v>
      </x:c>
      <x:c r="G13" s="15" t="str">
        <x:v>Release</x:v>
      </x:c>
      <x:c r="H13" s="15" t="str">
        <x:v>Issues</x:v>
      </x:c>
    </x:row>
    <x:row r="14">
      <x:c r="A14" s="112" t="str">
        <x:v>BACKLOG</x:v>
      </x:c>
      <x:c r="B14" s="113" t="n">
        <x:f>COUNTIF('Backlog'!$H$6:$H$139,A14)</x:f>
        <x:v>114</x:v>
      </x:c>
      <x:c r="D14" s="112" t="str">
        <x:v>P0</x:v>
      </x:c>
      <x:c r="E14" s="113" t="n">
        <x:f>COUNTIF('Backlog'!$E$6:$E$139,D14)</x:f>
        <x:v>56</x:v>
      </x:c>
      <x:c r="G14" s="112" t="str">
        <x:v>R0</x:v>
      </x:c>
      <x:c r="H14" s="113" t="n">
        <x:f>COUNTIF('Backlog'!$K$6:$K$139,G14)</x:f>
        <x:v>7</x:v>
      </x:c>
    </x:row>
    <x:row r="15">
      <x:c r="A15" s="19" t="str">
        <x:v>READY</x:v>
      </x:c>
      <x:c r="B15" s="21" t="n">
        <x:f>COUNTIF('Backlog'!$H$6:$H$139,A15)</x:f>
        <x:v>1</x:v>
      </x:c>
      <x:c r="D15" s="19" t="str">
        <x:v>P1</x:v>
      </x:c>
      <x:c r="E15" s="21" t="n">
        <x:f>COUNTIF('Backlog'!$E$6:$E$139,D15)</x:f>
        <x:v>57</x:v>
      </x:c>
      <x:c r="G15" s="19" t="str">
        <x:v>R1</x:v>
      </x:c>
      <x:c r="H15" s="21" t="n">
        <x:f>COUNTIF('Backlog'!$K$6:$K$139,G15)</x:f>
        <x:v>41</x:v>
      </x:c>
    </x:row>
    <x:row r="16">
      <x:c r="A16" s="19" t="str">
        <x:v>IN PROGRESS</x:v>
      </x:c>
      <x:c r="B16" s="21" t="n">
        <x:f>COUNTIF('Backlog'!$H$6:$H$139,A16)</x:f>
        <x:v>0</x:v>
      </x:c>
      <x:c r="D16" s="19" t="str">
        <x:v>P2</x:v>
      </x:c>
      <x:c r="E16" s="21" t="n">
        <x:f>COUNTIF('Backlog'!$E$6:$E$139,D16)</x:f>
        <x:v>12</x:v>
      </x:c>
      <x:c r="G16" s="19" t="str">
        <x:v>R2</x:v>
      </x:c>
      <x:c r="H16" s="21" t="n">
        <x:f>COUNTIF('Backlog'!$K$6:$K$139,G16)</x:f>
        <x:v>22</x:v>
      </x:c>
    </x:row>
    <x:row r="17">
      <x:c r="A17" s="19" t="str">
        <x:v>CODE REVIEW</x:v>
      </x:c>
      <x:c r="B17" s="21" t="n">
        <x:f>COUNTIF('Backlog'!$H$6:$H$139,A17)</x:f>
        <x:v>0</x:v>
      </x:c>
      <x:c r="D17" s="22" t="str">
        <x:v>P3</x:v>
      </x:c>
      <x:c r="E17" s="24" t="n">
        <x:f>COUNTIF('Backlog'!$E$6:$E$139,D17)</x:f>
        <x:v>9</x:v>
      </x:c>
      <x:c r="G17" s="19" t="str">
        <x:v>R3</x:v>
      </x:c>
      <x:c r="H17" s="21" t="n">
        <x:f>COUNTIF('Backlog'!$K$6:$K$139,G17)</x:f>
        <x:v>21</x:v>
      </x:c>
    </x:row>
    <x:row r="18">
      <x:c r="A18" s="19" t="str">
        <x:v>QA</x:v>
      </x:c>
      <x:c r="B18" s="21" t="n">
        <x:f>COUNTIF('Backlog'!$H$6:$H$139,A18)</x:f>
        <x:v>0</x:v>
      </x:c>
      <x:c r="G18" s="19" t="str">
        <x:v>R4</x:v>
      </x:c>
      <x:c r="H18" s="21" t="n">
        <x:f>COUNTIF('Backlog'!$K$6:$K$139,G18)</x:f>
        <x:v>8</x:v>
      </x:c>
    </x:row>
    <x:row r="19">
      <x:c r="A19" s="19" t="str">
        <x:v>BLOCKED</x:v>
      </x:c>
      <x:c r="B19" s="21" t="n">
        <x:f>COUNTIF('Backlog'!$H$6:$H$139,A19)</x:f>
        <x:v>0</x:v>
      </x:c>
      <x:c r="G19" s="19" t="str">
        <x:v>R5</x:v>
      </x:c>
      <x:c r="H19" s="21" t="n">
        <x:f>COUNTIF('Backlog'!$K$6:$K$139,G19)</x:f>
        <x:v>0</x:v>
      </x:c>
    </x:row>
    <x:row r="20">
      <x:c r="A20" s="19" t="str">
        <x:v>DONE</x:v>
      </x:c>
      <x:c r="B20" s="21" t="n">
        <x:f>COUNTIF('Backlog'!$H$6:$H$139,A20)</x:f>
        <x:v>7</x:v>
      </x:c>
      <x:c r="G20" s="19" t="str">
        <x:v>R6</x:v>
      </x:c>
      <x:c r="H20" s="21" t="n">
        <x:f>COUNTIF('Backlog'!$K$6:$K$139,G20)</x:f>
        <x:v>7</x:v>
      </x:c>
    </x:row>
    <x:row r="21">
      <x:c r="A21" s="22" t="str">
        <x:v>ICEBOX</x:v>
      </x:c>
      <x:c r="B21" s="24" t="n">
        <x:f>COUNTIF('Backlog'!$H$6:$H$139,A21)</x:f>
        <x:v>7</x:v>
      </x:c>
      <x:c r="G21" s="22" t="str">
        <x:v>Transversal</x:v>
      </x:c>
      <x:c r="H21" s="24" t="n">
        <x:f>COUNTIF('Backlog'!$K$6:$K$139,G21)</x:f>
        <x:v>28</x:v>
      </x:c>
    </x:row>
    <x:row r="24">
      <x:c r="A24" s="57" t="str">
        <x:v>Resumo das releases</x:v>
      </x:c>
      <x:c r="B24" s="57" t="str">
        <x:v>Resumo das releases</x:v>
      </x:c>
      <x:c r="C24" s="57" t="str">
        <x:v>Resumo das releases</x:v>
      </x:c>
      <x:c r="D24" s="57" t="str">
        <x:v>Resumo das releases</x:v>
      </x:c>
      <x:c r="E24" s="57" t="str">
        <x:v>Resumo das releases</x:v>
      </x:c>
      <x:c r="F24" s="57" t="str">
        <x:v>Resumo das releases</x:v>
      </x:c>
      <x:c r="G24" s="57" t="str">
        <x:v>Resumo das releases</x:v>
      </x:c>
      <x:c r="H24" s="57" t="str">
        <x:v>Resumo das releases</x:v>
      </x:c>
    </x:row>
    <x:row r="25" ht="27" customHeight="1">
      <x:c r="A25" s="15" t="str">
        <x:v>Release</x:v>
      </x:c>
      <x:c r="B25" s="15" t="str">
        <x:v>Sprints</x:v>
      </x:c>
      <x:c r="C25" s="15" t="str">
        <x:v>Resultado</x:v>
      </x:c>
      <x:c r="D25" s="15" t="str">
        <x:v>Gates</x:v>
      </x:c>
      <x:c r="E25" s="15" t="str">
        <x:v>Issues</x:v>
      </x:c>
      <x:c r="F25" s="15" t="str">
        <x:v>SP</x:v>
      </x:c>
      <x:c r="G25" s="15" t="str">
        <x:v>Done</x:v>
      </x:c>
      <x:c r="H25" s="15" t="str">
        <x:v>Progresso</x:v>
      </x:c>
    </x:row>
    <x:row r="26" ht="42" customHeight="1">
      <x:c r="A26" s="8" t="str">
        <x:v>R0 — Fundação segura</x:v>
      </x:c>
      <x:c r="B26" s="8" t="str">
        <x:v>concluída</x:v>
      </x:c>
      <x:c r="C26" s="9" t="str">
        <x:v>UI, schema, webhook base, Gemini base, CI e segurança</x:v>
      </x:c>
      <x:c r="D26" s="9" t="str">
        <x:v>G0</x:v>
      </x:c>
      <x:c r="E26" s="8" t="n">
        <x:f>'Releases'!E6</x:f>
        <x:v>7</x:v>
      </x:c>
      <x:c r="F26" s="8" t="n">
        <x:f>'Releases'!F6</x:f>
        <x:v>35</x:v>
      </x:c>
      <x:c r="G26" s="8" t="n">
        <x:f>'Releases'!G6</x:f>
        <x:v>7</x:v>
      </x:c>
      <x:c r="H26" s="11" t="n">
        <x:f>'Releases'!H6</x:f>
        <x:v>1</x:v>
      </x:c>
    </x:row>
    <x:row r="27" ht="42" customHeight="1">
      <x:c r="A27" s="8" t="str">
        <x:v>R1 — Operação navegável</x:v>
      </x:c>
      <x:c r="B27" s="8" t="str">
        <x:v>1–2</x:v>
      </x:c>
      <x:c r="C27" s="9" t="str">
        <x:v>Login visual/mocks, produtos, clientes, pedidos e conferência navegáveis</x:v>
      </x:c>
      <x:c r="D27" s="9" t="str">
        <x:v>G0; validação real usa G1</x:v>
      </x:c>
      <x:c r="E27" s="8" t="n">
        <x:f>'Releases'!E7</x:f>
        <x:v>41</x:v>
      </x:c>
      <x:c r="F27" s="8" t="n">
        <x:f>'Releases'!F7</x:f>
        <x:v>222</x:v>
      </x:c>
      <x:c r="G27" s="8" t="n">
        <x:f>'Releases'!G7</x:f>
        <x:v>0</x:v>
      </x:c>
      <x:c r="H27" s="11" t="n">
        <x:f>'Releases'!H7</x:f>
        <x:v>0</x:v>
      </x:c>
    </x:row>
    <x:row r="28" ht="42" customHeight="1">
      <x:c r="A28" s="8" t="str">
        <x:v>R2 — WhatsApp para pré-pedido</x:v>
      </x:c>
      <x:c r="B28" s="8" t="str">
        <x:v>3–4</x:v>
      </x:c>
      <x:c r="C28" s="9" t="str">
        <x:v>Mensagem real cria pedido correto e isolado por empresa</x:v>
      </x:c>
      <x:c r="D28" s="9" t="str">
        <x:v>G1, G2, G3</x:v>
      </x:c>
      <x:c r="E28" s="8" t="n">
        <x:f>'Releases'!E8</x:f>
        <x:v>22</x:v>
      </x:c>
      <x:c r="F28" s="8" t="n">
        <x:f>'Releases'!F8</x:f>
        <x:v>128</x:v>
      </x:c>
      <x:c r="G28" s="8" t="n">
        <x:f>'Releases'!G8</x:f>
        <x:v>0</x:v>
      </x:c>
      <x:c r="H28" s="11" t="n">
        <x:f>'Releases'!H8</x:f>
        <x:v>0</x:v>
      </x:c>
    </x:row>
    <x:row r="29" ht="42" customHeight="1">
      <x:c r="A29" s="8" t="str">
        <x:v>R3 — Pedido para NF-e</x:v>
      </x:c>
      <x:c r="B29" s="8" t="str">
        <x:v>5–6</x:v>
      </x:c>
      <x:c r="C29" s="9" t="str">
        <x:v>Aprovação em homologação gera NF-e e registra DANFE/XML</x:v>
      </x:c>
      <x:c r="D29" s="9" t="str">
        <x:v>G1, G4, G5</x:v>
      </x:c>
      <x:c r="E29" s="8" t="n">
        <x:f>'Releases'!E9</x:f>
        <x:v>21</x:v>
      </x:c>
      <x:c r="F29" s="8" t="n">
        <x:f>'Releases'!F9</x:f>
        <x:v>148</x:v>
      </x:c>
      <x:c r="G29" s="8" t="n">
        <x:f>'Releases'!G9</x:f>
        <x:v>0</x:v>
      </x:c>
      <x:c r="H29" s="11" t="n">
        <x:f>'Releases'!H9</x:f>
        <x:v>0</x:v>
      </x:c>
    </x:row>
    <x:row r="30" ht="42" customHeight="1">
      <x:c r="A30" s="8" t="str">
        <x:v>R4 — Piloto assistido</x:v>
      </x:c>
      <x:c r="B30" s="8" t="str">
        <x:v>7–8</x:v>
      </x:c>
      <x:c r="C30" s="9" t="str">
        <x:v>2 empresas operam com métricas, alertas e suporte</x:v>
      </x:c>
      <x:c r="D30" s="9" t="str">
        <x:v>G1–G6</x:v>
      </x:c>
      <x:c r="E30" s="8" t="n">
        <x:f>'Releases'!E10</x:f>
        <x:v>8</x:v>
      </x:c>
      <x:c r="F30" s="8" t="n">
        <x:f>'Releases'!F10</x:f>
        <x:v>36</x:v>
      </x:c>
      <x:c r="G30" s="8" t="n">
        <x:f>'Releases'!G10</x:f>
        <x:v>0</x:v>
      </x:c>
      <x:c r="H30" s="11" t="n">
        <x:f>'Releases'!H10</x:f>
        <x:v>0</x:v>
      </x:c>
    </x:row>
    <x:row r="31" ht="42" customHeight="1">
      <x:c r="A31" s="8" t="str">
        <x:v>R5 — MVP comercial</x:v>
      </x:c>
      <x:c r="B31" s="8" t="str">
        <x:v>9–10</x:v>
      </x:c>
      <x:c r="C31" s="9" t="str">
        <x:v>5–10 empresas, onboarding repetível e critérios de produção atendidos</x:v>
      </x:c>
      <x:c r="D31" s="9" t="str">
        <x:v>revisão Meta, fiscal, segurança e jurídica</x:v>
      </x:c>
      <x:c r="E31" s="8" t="n">
        <x:f>'Releases'!E11</x:f>
        <x:v>0</x:v>
      </x:c>
      <x:c r="F31" s="8" t="n">
        <x:f>'Releases'!F11</x:f>
        <x:v>0</x:v>
      </x:c>
      <x:c r="G31" s="8" t="n">
        <x:f>'Releases'!G11</x:f>
        <x:v>0</x:v>
      </x:c>
      <x:c r="H31" s="11" t="n">
        <x:f>'Releases'!H11</x:f>
        <x:v>0</x:v>
      </x:c>
    </x:row>
    <x:row r="32" ht="42" customHeight="1">
      <x:c r="A32" s="8" t="str">
        <x:v>R6 — Expansão validada</x:v>
      </x:c>
      <x:c r="B32" s="8" t="str">
        <x:v>após receita</x:v>
      </x:c>
      <x:c r="C32" s="9" t="str">
        <x:v>Próximo módulo escolhido por evidência dos pilotos</x:v>
      </x:c>
      <x:c r="D32" s="9" t="str">
        <x:v>demanda comprovada</x:v>
      </x:c>
      <x:c r="E32" s="8" t="n">
        <x:f>'Releases'!E12</x:f>
        <x:v>7</x:v>
      </x:c>
      <x:c r="F32" s="8" t="n">
        <x:f>'Releases'!F12</x:f>
        <x:v>0</x:v>
      </x:c>
      <x:c r="G32" s="8" t="n">
        <x:f>'Releases'!G12</x:f>
        <x:v>0</x:v>
      </x:c>
      <x:c r="H32" s="11" t="n">
        <x:f>'Releases'!H12</x:f>
        <x:v>0</x:v>
      </x:c>
    </x:row>
  </x:sheetData>
  <x:mergeCells>
    <x:mergeCell ref="A1:Q1"/>
    <x:mergeCell ref="A2:Q2"/>
    <x:mergeCell ref="A4:C4"/>
    <x:mergeCell ref="A5:C6"/>
    <x:mergeCell ref="E4:G4"/>
    <x:mergeCell ref="E5:G6"/>
    <x:mergeCell ref="I4:K4"/>
    <x:mergeCell ref="I5:K6"/>
    <x:mergeCell ref="M4:O4"/>
    <x:mergeCell ref="M5:O6"/>
    <x:mergeCell ref="A8:C8"/>
    <x:mergeCell ref="A9:C10"/>
    <x:mergeCell ref="E8:O8"/>
    <x:mergeCell ref="E9:O10"/>
    <x:mergeCell ref="A24:H24"/>
  </x:mergeCells>
  <x:pageMargins left="0.7" right="0.7" top="0.75" bottom="0.75" header="0.3" footer="0.3"/>
  <x:drawing xmlns:r="http://schemas.openxmlformats.org/officeDocument/2006/relationships" r:id="R6ee2cf3941e8454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46" hidden="0" customWidth="1"/>
    <x:col min="5" max="5" width="11" hidden="0" customWidth="1"/>
    <x:col min="6" max="6" width="12" hidden="0" customWidth="1"/>
    <x:col min="7" max="7" width="13" hidden="0" customWidth="1"/>
    <x:col min="8" max="8" width="16" hidden="0" customWidth="1"/>
    <x:col min="9" max="9" width="18" hidden="0" customWidth="1"/>
    <x:col min="10" max="10" width="14" hidden="0" customWidth="1"/>
    <x:col min="11" max="11" width="12" hidden="0" customWidth="1"/>
    <x:col min="12" max="12" width="18" hidden="0" customWidth="1"/>
    <x:col min="13" max="13" width="42" hidden="0" customWidth="1"/>
    <x:col min="14" max="14" width="34" hidden="0" customWidth="1"/>
  </x:cols>
  <x:sheetData>
    <x:row r="1" ht="34" customHeight="1">
      <x:c r="A1" s="3" t="str">
        <x:v>ZapNFe | Backlog Jira</x:v>
      </x:c>
      <x:c r="B1" s="3" t="str">
        <x:v>ZapNFe | Backlog Jira</x:v>
      </x:c>
      <x:c r="C1" s="3" t="str">
        <x:v>ZapNFe | Backlog Jira</x:v>
      </x:c>
      <x:c r="D1" s="3" t="str">
        <x:v>ZapNFe | Backlog Jira</x:v>
      </x:c>
      <x:c r="E1" s="3" t="str">
        <x:v>ZapNFe | Backlog Jira</x:v>
      </x:c>
      <x:c r="F1" s="3" t="str">
        <x:v>ZapNFe | Backlog Jira</x:v>
      </x:c>
      <x:c r="G1" s="3" t="str">
        <x:v>ZapNFe | Backlog Jira</x:v>
      </x:c>
      <x:c r="H1" s="3" t="str">
        <x:v>ZapNFe | Backlog Jira</x:v>
      </x:c>
      <x:c r="I1" s="3" t="str">
        <x:v>ZapNFe | Backlog Jira</x:v>
      </x:c>
      <x:c r="J1" s="3" t="str">
        <x:v>ZapNFe | Backlog Jira</x:v>
      </x:c>
      <x:c r="K1" s="3" t="str">
        <x:v>ZapNFe | Backlog Jira</x:v>
      </x:c>
      <x:c r="L1" s="3" t="str">
        <x:v>ZapNFe | Backlog Jira</x:v>
      </x:c>
      <x:c r="M1" s="3" t="str">
        <x:v>ZapNFe | Backlog Jira</x:v>
      </x:c>
      <x:c r="N1" s="3" t="str">
        <x:v>ZapNFe | Backlog Jira</x:v>
      </x:c>
    </x:row>
    <x:row r="2" ht="24" customHeight="1">
      <x:c r="A2" s="6" t="str">
        <x:v>134 issues editáveis · filtros, prioridades, gates, responsáveis e sprints</x:v>
      </x:c>
      <x:c r="B2" s="6" t="str">
        <x:v>134 issues editáveis · filtros, prioridades, gates, responsáveis e sprints</x:v>
      </x:c>
      <x:c r="C2" s="6" t="str">
        <x:v>134 issues editáveis · filtros, prioridades, gates, responsáveis e sprints</x:v>
      </x:c>
      <x:c r="D2" s="6" t="str">
        <x:v>134 issues editáveis · filtros, prioridades, gates, responsáveis e sprints</x:v>
      </x:c>
      <x:c r="E2" s="6" t="str">
        <x:v>134 issues editáveis · filtros, prioridades, gates, responsáveis e sprints</x:v>
      </x:c>
      <x:c r="F2" s="6" t="str">
        <x:v>134 issues editáveis · filtros, prioridades, gates, responsáveis e sprints</x:v>
      </x:c>
      <x:c r="G2" s="6" t="str">
        <x:v>134 issues editáveis · filtros, prioridades, gates, responsáveis e sprints</x:v>
      </x:c>
      <x:c r="H2" s="6" t="str">
        <x:v>134 issues editáveis · filtros, prioridades, gates, responsáveis e sprints</x:v>
      </x:c>
      <x:c r="I2" s="6" t="str">
        <x:v>134 issues editáveis · filtros, prioridades, gates, responsáveis e sprints</x:v>
      </x:c>
      <x:c r="J2" s="6" t="str">
        <x:v>134 issues editáveis · filtros, prioridades, gates, responsáveis e sprints</x:v>
      </x:c>
      <x:c r="K2" s="6" t="str">
        <x:v>134 issues editáveis · filtros, prioridades, gates, responsáveis e sprints</x:v>
      </x:c>
      <x:c r="L2" s="6" t="str">
        <x:v>134 issues editáveis · filtros, prioridades, gates, responsáveis e sprints</x:v>
      </x:c>
      <x:c r="M2" s="6" t="str">
        <x:v>134 issues editáveis · filtros, prioridades, gates, responsáveis e sprints</x:v>
      </x:c>
      <x:c r="N2" s="6" t="str">
        <x:v>134 issues editáveis · filtros, prioridades, gates, responsáveis e sprints</x:v>
      </x:c>
    </x:row>
    <x:row r="5">
      <x:c r="A5" t="str">
        <x:v>Key</x:v>
      </x:c>
      <x:c r="B5" t="str">
        <x:v>Épico</x:v>
      </x:c>
      <x:c r="C5" t="str">
        <x:v>Tipo</x:v>
      </x:c>
      <x:c r="D5" t="str">
        <x:v>Resumo</x:v>
      </x:c>
      <x:c r="E5" t="str">
        <x:v>Prioridade</x:v>
      </x:c>
      <x:c r="F5" t="str">
        <x:v>Story Points</x:v>
      </x:c>
      <x:c r="G5" t="str">
        <x:v>Gate</x:v>
      </x:c>
      <x:c r="H5" t="str">
        <x:v>Status</x:v>
      </x:c>
      <x:c r="I5" t="str">
        <x:v>Responsável</x:v>
      </x:c>
      <x:c r="J5" t="str">
        <x:v>Sprint</x:v>
      </x:c>
      <x:c r="K5" t="str">
        <x:v>Release</x:v>
      </x:c>
      <x:c r="L5" t="str">
        <x:v>Dependências</x:v>
      </x:c>
      <x:c r="M5" t="str">
        <x:v>Critério mínimo</x:v>
      </x:c>
      <x:c r="N5" t="str">
        <x:v>Observações</x:v>
      </x:c>
    </x:row>
    <x:row r="6" ht="42" customHeight="1">
      <x:c r="A6" s="8" t="str">
        <x:v>ZNF-101</x:v>
      </x:c>
      <x:c r="B6" s="8" t="str">
        <x:v>ZNF-EP01</x:v>
      </x:c>
      <x:c r="C6" s="8" t="str">
        <x:v>Story</x:v>
      </x:c>
      <x:c r="D6" s="9" t="str">
        <x:v>Criar aplicação Next.js e identidade Lago Vulcânico</x:v>
      </x:c>
      <x:c r="E6" s="8" t="str">
        <x:v>P1</x:v>
      </x:c>
      <x:c r="F6" s="10" t="n">
        <x:v>5</x:v>
      </x:c>
      <x:c r="G6" s="8" t="str">
        <x:v>G0</x:v>
      </x:c>
      <x:c r="H6" s="8" t="str">
        <x:v>DONE</x:v>
      </x:c>
      <x:c r="I6" s="8" t="str">
        <x:v>Não atribuído</x:v>
      </x:c>
      <x:c r="J6" s="8" t="str">
        <x:v>Concluído</x:v>
      </x:c>
      <x:c r="K6" s="8" t="str">
        <x:v>R0</x:v>
      </x:c>
      <x:c r="L6" s="9" t="str">
        <x:v>G0</x:v>
      </x:c>
      <x:c r="M6" s="9" t="str">
        <x:v>Fluxo concluído pelo usuário e validado no servidor.</x:v>
      </x:c>
      <x:c r="N6" s="9" t="str">
        <x:v>Sem dependência externa</x:v>
      </x:c>
    </x:row>
    <x:row r="7" ht="42" customHeight="1">
      <x:c r="A7" s="8" t="str">
        <x:v>ZNF-102</x:v>
      </x:c>
      <x:c r="B7" s="8" t="str">
        <x:v>ZNF-EP01</x:v>
      </x:c>
      <x:c r="C7" s="8" t="str">
        <x:v>Task</x:v>
      </x:c>
      <x:c r="D7" s="9" t="str">
        <x:v>Padronizar módulos de UI, domínio, integrações e infraestrutura</x:v>
      </x:c>
      <x:c r="E7" s="8" t="str">
        <x:v>P1</x:v>
      </x:c>
      <x:c r="F7" s="10" t="n">
        <x:v>5</x:v>
      </x:c>
      <x:c r="G7" s="8" t="str">
        <x:v>G0</x:v>
      </x:c>
      <x:c r="H7" s="8" t="str">
        <x:v>READY</x:v>
      </x:c>
      <x:c r="I7" s="8" t="str">
        <x:v>Não atribuído</x:v>
      </x:c>
      <x:c r="J7" s="8" t="str">
        <x:v>Backlog</x:v>
      </x:c>
      <x:c r="K7" s="8" t="str">
        <x:v>R1</x:v>
      </x:c>
      <x:c r="L7" s="9" t="str">
        <x:v>G0</x:v>
      </x:c>
      <x:c r="M7" s="9" t="str">
        <x:v>Implementação verificada por teste/evidência e documentação atualizada.</x:v>
      </x:c>
      <x:c r="N7" s="9" t="str">
        <x:v>Sem dependência externa</x:v>
      </x:c>
    </x:row>
    <x:row r="8" ht="42" customHeight="1">
      <x:c r="A8" s="8" t="str">
        <x:v>ZNF-103</x:v>
      </x:c>
      <x:c r="B8" s="8" t="str">
        <x:v>ZNF-EP01</x:v>
      </x:c>
      <x:c r="C8" s="8" t="str">
        <x:v>Task</x:v>
      </x:c>
      <x:c r="D8" s="9" t="str">
        <x:v>Manter `.env.example` validado e sem segredos</x:v>
      </x:c>
      <x:c r="E8" s="8" t="str">
        <x:v>P0</x:v>
      </x:c>
      <x:c r="F8" s="10" t="n">
        <x:v>2</x:v>
      </x:c>
      <x:c r="G8" s="8" t="str">
        <x:v>G0</x:v>
      </x:c>
      <x:c r="H8" s="8" t="str">
        <x:v>DONE</x:v>
      </x:c>
      <x:c r="I8" s="8" t="str">
        <x:v>Não atribuído</x:v>
      </x:c>
      <x:c r="J8" s="8" t="str">
        <x:v>Concluído</x:v>
      </x:c>
      <x:c r="K8" s="8" t="str">
        <x:v>R0</x:v>
      </x:c>
      <x:c r="L8" s="9" t="str">
        <x:v>G0</x:v>
      </x:c>
      <x:c r="M8" s="9" t="str">
        <x:v>Implementação verificada por teste/evidência e documentação atualizada.</x:v>
      </x:c>
      <x:c r="N8" s="9" t="str">
        <x:v>Sem dependência externa</x:v>
      </x:c>
    </x:row>
    <x:row r="9" ht="42" customHeight="1">
      <x:c r="A9" s="8" t="str">
        <x:v>ZNF-104</x:v>
      </x:c>
      <x:c r="B9" s="8" t="str">
        <x:v>ZNF-EP01</x:v>
      </x:c>
      <x:c r="C9" s="8" t="str">
        <x:v>Task</x:v>
      </x:c>
      <x:c r="D9" s="9" t="str">
        <x:v>CI de qualidade, build, Gitleaks, OpenGrep e audit</x:v>
      </x:c>
      <x:c r="E9" s="8" t="str">
        <x:v>P0</x:v>
      </x:c>
      <x:c r="F9" s="10" t="n">
        <x:v>5</x:v>
      </x:c>
      <x:c r="G9" s="8" t="str">
        <x:v>G0</x:v>
      </x:c>
      <x:c r="H9" s="8" t="str">
        <x:v>DONE</x:v>
      </x:c>
      <x:c r="I9" s="8" t="str">
        <x:v>Não atribuído</x:v>
      </x:c>
      <x:c r="J9" s="8" t="str">
        <x:v>Concluído</x:v>
      </x:c>
      <x:c r="K9" s="8" t="str">
        <x:v>R0</x:v>
      </x:c>
      <x:c r="L9" s="9" t="str">
        <x:v>G0</x:v>
      </x:c>
      <x:c r="M9" s="9" t="str">
        <x:v>Implementação verificada por teste/evidência e documentação atualizada.</x:v>
      </x:c>
      <x:c r="N9" s="9" t="str">
        <x:v>Sem dependência externa</x:v>
      </x:c>
    </x:row>
    <x:row r="10" ht="42" customHeight="1">
      <x:c r="A10" s="8" t="str">
        <x:v>ZNF-105</x:v>
      </x:c>
      <x:c r="B10" s="8" t="str">
        <x:v>ZNF-EP01</x:v>
      </x:c>
      <x:c r="C10" s="8" t="str">
        <x:v>Task</x:v>
      </x:c>
      <x:c r="D10" s="9" t="str">
        <x:v>OWASP ZAP e headers/CSP com nonce</x:v>
      </x:c>
      <x:c r="E10" s="8" t="str">
        <x:v>P0</x:v>
      </x:c>
      <x:c r="F10" s="10" t="n">
        <x:v>5</x:v>
      </x:c>
      <x:c r="G10" s="8" t="str">
        <x:v>G0</x:v>
      </x:c>
      <x:c r="H10" s="8" t="str">
        <x:v>DONE</x:v>
      </x:c>
      <x:c r="I10" s="8" t="str">
        <x:v>Não atribuído</x:v>
      </x:c>
      <x:c r="J10" s="8" t="str">
        <x:v>Concluído</x:v>
      </x:c>
      <x:c r="K10" s="8" t="str">
        <x:v>R0</x:v>
      </x:c>
      <x:c r="L10" s="9" t="str">
        <x:v>G0</x:v>
      </x:c>
      <x:c r="M10" s="9" t="str">
        <x:v>Implementação verificada por teste/evidência e documentação atualizada.</x:v>
      </x:c>
      <x:c r="N10" s="9" t="str">
        <x:v>Sem dependência externa</x:v>
      </x:c>
    </x:row>
    <x:row r="11" ht="42" customHeight="1">
      <x:c r="A11" s="8" t="str">
        <x:v>ZNF-106</x:v>
      </x:c>
      <x:c r="B11" s="8" t="str">
        <x:v>ZNF-EP01</x:v>
      </x:c>
      <x:c r="C11" s="8" t="str">
        <x:v>Task</x:v>
      </x:c>
      <x:c r="D11" s="9" t="str">
        <x:v>Criar padrão de erros, códigos públicos e correlation ID</x:v>
      </x:c>
      <x:c r="E11" s="8" t="str">
        <x:v>P1</x:v>
      </x:c>
      <x:c r="F11" s="10" t="n">
        <x:v>5</x:v>
      </x:c>
      <x:c r="G11" s="8" t="str">
        <x:v>G0</x:v>
      </x:c>
      <x:c r="H11" s="8" t="str">
        <x:v>BACKLOG</x:v>
      </x:c>
      <x:c r="I11" s="8" t="str">
        <x:v>Não atribuído</x:v>
      </x:c>
      <x:c r="J11" s="8" t="str">
        <x:v>Backlog</x:v>
      </x:c>
      <x:c r="K11" s="8" t="str">
        <x:v>R1</x:v>
      </x:c>
      <x:c r="L11" s="9" t="str">
        <x:v>G0</x:v>
      </x:c>
      <x:c r="M11" s="9" t="str">
        <x:v>Implementação verificada por teste/evidência e documentação atualizada.</x:v>
      </x:c>
      <x:c r="N11" s="9" t="str">
        <x:v>Sem dependência externa</x:v>
      </x:c>
    </x:row>
    <x:row r="12" ht="42" customHeight="1">
      <x:c r="A12" s="8" t="str">
        <x:v>ZNF-107</x:v>
      </x:c>
      <x:c r="B12" s="8" t="str">
        <x:v>ZNF-EP01</x:v>
      </x:c>
      <x:c r="C12" s="8" t="str">
        <x:v>Task</x:v>
      </x:c>
      <x:c r="D12" s="9" t="str">
        <x:v>Criar adaptadores de relógio, ID e transporte para testes determinísticos</x:v>
      </x:c>
      <x:c r="E12" s="8" t="str">
        <x:v>P2</x:v>
      </x:c>
      <x:c r="F12" s="10" t="n">
        <x:v>3</x:v>
      </x:c>
      <x:c r="G12" s="8" t="str">
        <x:v>G0</x:v>
      </x:c>
      <x:c r="H12" s="8" t="str">
        <x:v>BACKLOG</x:v>
      </x:c>
      <x:c r="I12" s="8" t="str">
        <x:v>Não atribuído</x:v>
      </x:c>
      <x:c r="J12" s="8" t="str">
        <x:v>Backlog</x:v>
      </x:c>
      <x:c r="K12" s="8" t="str">
        <x:v>R1</x:v>
      </x:c>
      <x:c r="L12" s="9" t="str">
        <x:v>G0</x:v>
      </x:c>
      <x:c r="M12" s="9" t="str">
        <x:v>Implementação verificada por teste/evidência e documentação atualizada.</x:v>
      </x:c>
      <x:c r="N12" s="9" t="str">
        <x:v>Sem dependência externa</x:v>
      </x:c>
    </x:row>
    <x:row r="13" ht="42" customHeight="1">
      <x:c r="A13" s="8" t="str">
        <x:v>ZNF-108</x:v>
      </x:c>
      <x:c r="B13" s="8" t="str">
        <x:v>ZNF-EP01</x:v>
      </x:c>
      <x:c r="C13" s="8" t="str">
        <x:v>Task</x:v>
      </x:c>
      <x:c r="D13" s="9" t="str">
        <x:v>Registrar ADRs para multi-tenancy, filas, A1 e provedor fiscal</x:v>
      </x:c>
      <x:c r="E13" s="8" t="str">
        <x:v>P1</x:v>
      </x:c>
      <x:c r="F13" s="10" t="n">
        <x:v>3</x:v>
      </x:c>
      <x:c r="G13" s="8" t="str">
        <x:v>G0</x:v>
      </x:c>
      <x:c r="H13" s="8" t="str">
        <x:v>BACKLOG</x:v>
      </x:c>
      <x:c r="I13" s="8" t="str">
        <x:v>Não atribuído</x:v>
      </x:c>
      <x:c r="J13" s="8" t="str">
        <x:v>Backlog</x:v>
      </x:c>
      <x:c r="K13" s="8" t="str">
        <x:v>R1</x:v>
      </x:c>
      <x:c r="L13" s="9" t="str">
        <x:v>G0</x:v>
      </x:c>
      <x:c r="M13" s="9" t="str">
        <x:v>Implementação verificada por teste/evidência e documentação atualizada.</x:v>
      </x:c>
      <x:c r="N13" s="9" t="str">
        <x:v>Sem dependência externa</x:v>
      </x:c>
    </x:row>
    <x:row r="14" ht="42" customHeight="1">
      <x:c r="A14" s="8" t="str">
        <x:v>ZNF-201</x:v>
      </x:c>
      <x:c r="B14" s="8" t="str">
        <x:v>ZNF-EP02</x:v>
      </x:c>
      <x:c r="C14" s="8" t="str">
        <x:v>Story</x:v>
      </x:c>
      <x:c r="D14" s="9" t="str">
        <x:v>Tela de login por e-mail e senha</x:v>
      </x:c>
      <x:c r="E14" s="8" t="str">
        <x:v>P1</x:v>
      </x:c>
      <x:c r="F14" s="10" t="n">
        <x:v>5</x:v>
      </x:c>
      <x:c r="G14" s="8" t="str">
        <x:v>G0/G1</x:v>
      </x:c>
      <x:c r="H14" s="8" t="str">
        <x:v>BACKLOG</x:v>
      </x:c>
      <x:c r="I14" s="8" t="str">
        <x:v>Não atribuído</x:v>
      </x:c>
      <x:c r="J14" s="8" t="str">
        <x:v>Sprint 1</x:v>
      </x:c>
      <x:c r="K14" s="8" t="str">
        <x:v>R1</x:v>
      </x:c>
      <x:c r="L14" s="9" t="str">
        <x:v>G0/G1</x:v>
      </x:c>
      <x:c r="M14" s="9" t="str">
        <x:v>Fluxo concluído pelo usuário e validado no servidor.</x:v>
      </x:c>
      <x:c r="N14" s="9" t="str">
        <x:v>Integração real depende de G0/G1</x:v>
      </x:c>
    </x:row>
    <x:row r="15" ht="42" customHeight="1">
      <x:c r="A15" s="8" t="str">
        <x:v>ZNF-202</x:v>
      </x:c>
      <x:c r="B15" s="8" t="str">
        <x:v>ZNF-EP02</x:v>
      </x:c>
      <x:c r="C15" s="8" t="str">
        <x:v>Story</x:v>
      </x:c>
      <x:c r="D15" s="9" t="str">
        <x:v>Recuperação e redefinição de senha</x:v>
      </x:c>
      <x:c r="E15" s="8" t="str">
        <x:v>P1</x:v>
      </x:c>
      <x:c r="F15" s="10" t="n">
        <x:v>3</x:v>
      </x:c>
      <x:c r="G15" s="8" t="str">
        <x:v>G1</x:v>
      </x:c>
      <x:c r="H15" s="8" t="str">
        <x:v>BACKLOG</x:v>
      </x:c>
      <x:c r="I15" s="8" t="str">
        <x:v>Não atribuído</x:v>
      </x:c>
      <x:c r="J15" s="8" t="str">
        <x:v>Sprint 1</x:v>
      </x:c>
      <x:c r="K15" s="8" t="str">
        <x:v>R1</x:v>
      </x:c>
      <x:c r="L15" s="9" t="str">
        <x:v>G1</x:v>
      </x:c>
      <x:c r="M15" s="9" t="str">
        <x:v>Fluxo concluído pelo usuário e validado no servidor.</x:v>
      </x:c>
      <x:c r="N15" s="9" t="str">
        <x:v>Integração real depende de G1</x:v>
      </x:c>
    </x:row>
    <x:row r="16" ht="42" customHeight="1">
      <x:c r="A16" s="8" t="str">
        <x:v>ZNF-203</x:v>
      </x:c>
      <x:c r="B16" s="8" t="str">
        <x:v>ZNF-EP02</x:v>
      </x:c>
      <x:c r="C16" s="8" t="str">
        <x:v>Task</x:v>
      </x:c>
      <x:c r="D16" s="9" t="str">
        <x:v>Sessão SSR segura e proteção de rotas</x:v>
      </x:c>
      <x:c r="E16" s="8" t="str">
        <x:v>P0</x:v>
      </x:c>
      <x:c r="F16" s="10" t="n">
        <x:v>8</x:v>
      </x:c>
      <x:c r="G16" s="8" t="str">
        <x:v>G1</x:v>
      </x:c>
      <x:c r="H16" s="8" t="str">
        <x:v>BACKLOG</x:v>
      </x:c>
      <x:c r="I16" s="8" t="str">
        <x:v>Não atribuído</x:v>
      </x:c>
      <x:c r="J16" s="8" t="str">
        <x:v>Sprint 1</x:v>
      </x:c>
      <x:c r="K16" s="8" t="str">
        <x:v>R1</x:v>
      </x:c>
      <x:c r="L16" s="9" t="str">
        <x:v>G1</x:v>
      </x:c>
      <x:c r="M16" s="9" t="str">
        <x:v>Implementação verificada por teste/evidência e documentação atualizada.</x:v>
      </x:c>
      <x:c r="N16" s="9" t="str">
        <x:v>Integração real depende de G1</x:v>
      </x:c>
    </x:row>
    <x:row r="17" ht="42" customHeight="1">
      <x:c r="A17" s="8" t="str">
        <x:v>ZNF-204</x:v>
      </x:c>
      <x:c r="B17" s="8" t="str">
        <x:v>ZNF-EP02</x:v>
      </x:c>
      <x:c r="C17" s="8" t="str">
        <x:v>Story</x:v>
      </x:c>
      <x:c r="D17" s="9" t="str">
        <x:v>Convite de usuários para a empresa</x:v>
      </x:c>
      <x:c r="E17" s="8" t="str">
        <x:v>P1</x:v>
      </x:c>
      <x:c r="F17" s="10" t="n">
        <x:v>8</x:v>
      </x:c>
      <x:c r="G17" s="8" t="str">
        <x:v>G1</x:v>
      </x:c>
      <x:c r="H17" s="8" t="str">
        <x:v>BACKLOG</x:v>
      </x:c>
      <x:c r="I17" s="8" t="str">
        <x:v>Não atribuído</x:v>
      </x:c>
      <x:c r="J17" s="8" t="str">
        <x:v>Sprint 1</x:v>
      </x:c>
      <x:c r="K17" s="8" t="str">
        <x:v>R1</x:v>
      </x:c>
      <x:c r="L17" s="9" t="str">
        <x:v>G1</x:v>
      </x:c>
      <x:c r="M17" s="9" t="str">
        <x:v>Fluxo concluído pelo usuário e validado no servidor.</x:v>
      </x:c>
      <x:c r="N17" s="9" t="str">
        <x:v>Integração real depende de G1</x:v>
      </x:c>
    </x:row>
    <x:row r="18" ht="42" customHeight="1">
      <x:c r="A18" s="8" t="str">
        <x:v>ZNF-205</x:v>
      </x:c>
      <x:c r="B18" s="8" t="str">
        <x:v>ZNF-EP02</x:v>
      </x:c>
      <x:c r="C18" s="8" t="str">
        <x:v>Story</x:v>
      </x:c>
      <x:c r="D18" s="9" t="str">
        <x:v>Papéis `admin`, `manager` e `operator` aplicados server-side</x:v>
      </x:c>
      <x:c r="E18" s="8" t="str">
        <x:v>P0</x:v>
      </x:c>
      <x:c r="F18" s="10" t="n">
        <x:v>8</x:v>
      </x:c>
      <x:c r="G18" s="8" t="str">
        <x:v>G1</x:v>
      </x:c>
      <x:c r="H18" s="8" t="str">
        <x:v>PARTIAL</x:v>
      </x:c>
      <x:c r="I18" s="8" t="str">
        <x:v>Não atribuído</x:v>
      </x:c>
      <x:c r="J18" s="8" t="str">
        <x:v>Sprint 1</x:v>
      </x:c>
      <x:c r="K18" s="8" t="str">
        <x:v>R1</x:v>
      </x:c>
      <x:c r="L18" s="9" t="str">
        <x:v>G1</x:v>
      </x:c>
      <x:c r="M18" s="9" t="str">
        <x:v>Fluxo concluído pelo usuário e validado no servidor.</x:v>
      </x:c>
      <x:c r="N18" s="9" t="str">
        <x:v>Integração real depende de G1</x:v>
      </x:c>
    </x:row>
    <x:row r="19" ht="42" customHeight="1">
      <x:c r="A19" s="8" t="str">
        <x:v>ZNF-206</x:v>
      </x:c>
      <x:c r="B19" s="8" t="str">
        <x:v>ZNF-EP02</x:v>
      </x:c>
      <x:c r="C19" s="8" t="str">
        <x:v>Story</x:v>
      </x:c>
      <x:c r="D19" s="9" t="str">
        <x:v>Seletor de empresa para usuário com múltiplas associações</x:v>
      </x:c>
      <x:c r="E19" s="8" t="str">
        <x:v>P2</x:v>
      </x:c>
      <x:c r="F19" s="10" t="n">
        <x:v>5</x:v>
      </x:c>
      <x:c r="G19" s="8" t="str">
        <x:v>G1</x:v>
      </x:c>
      <x:c r="H19" s="8" t="str">
        <x:v>BACKLOG</x:v>
      </x:c>
      <x:c r="I19" s="8" t="str">
        <x:v>Não atribuído</x:v>
      </x:c>
      <x:c r="J19" s="8" t="str">
        <x:v>Backlog</x:v>
      </x:c>
      <x:c r="K19" s="8" t="str">
        <x:v>R1</x:v>
      </x:c>
      <x:c r="L19" s="9" t="str">
        <x:v>G1</x:v>
      </x:c>
      <x:c r="M19" s="9" t="str">
        <x:v>Fluxo concluído pelo usuário e validado no servidor.</x:v>
      </x:c>
      <x:c r="N19" s="9" t="str">
        <x:v>Integração real depende de G1</x:v>
      </x:c>
    </x:row>
    <x:row r="20" ht="42" customHeight="1">
      <x:c r="A20" s="8" t="str">
        <x:v>ZNF-207</x:v>
      </x:c>
      <x:c r="B20" s="8" t="str">
        <x:v>ZNF-EP02</x:v>
      </x:c>
      <x:c r="C20" s="8" t="str">
        <x:v>Task</x:v>
      </x:c>
      <x:c r="D20" s="9" t="str">
        <x:v>Testes pgTAP de isolamento RLS entre duas empresas</x:v>
      </x:c>
      <x:c r="E20" s="8" t="str">
        <x:v>P0</x:v>
      </x:c>
      <x:c r="F20" s="10" t="n">
        <x:v>8</x:v>
      </x:c>
      <x:c r="G20" s="8" t="str">
        <x:v>G1</x:v>
      </x:c>
      <x:c r="H20" s="8" t="str">
        <x:v>BACKLOG</x:v>
      </x:c>
      <x:c r="I20" s="8" t="str">
        <x:v>Não atribuído</x:v>
      </x:c>
      <x:c r="J20" s="8" t="str">
        <x:v>Backlog</x:v>
      </x:c>
      <x:c r="K20" s="8" t="str">
        <x:v>R1</x:v>
      </x:c>
      <x:c r="L20" s="9" t="str">
        <x:v>G1</x:v>
      </x:c>
      <x:c r="M20" s="9" t="str">
        <x:v>Implementação verificada por teste/evidência e documentação atualizada.</x:v>
      </x:c>
      <x:c r="N20" s="9" t="str">
        <x:v>Integração real depende de G1</x:v>
      </x:c>
    </x:row>
    <x:row r="21" ht="42" customHeight="1">
      <x:c r="A21" s="8" t="str">
        <x:v>ZNF-208</x:v>
      </x:c>
      <x:c r="B21" s="8" t="str">
        <x:v>ZNF-EP02</x:v>
      </x:c>
      <x:c r="C21" s="8" t="str">
        <x:v>Task</x:v>
      </x:c>
      <x:c r="D21" s="9" t="str">
        <x:v>MFA obrigatório para administradores antes da produção</x:v>
      </x:c>
      <x:c r="E21" s="8" t="str">
        <x:v>P2</x:v>
      </x:c>
      <x:c r="F21" s="10" t="n">
        <x:v>5</x:v>
      </x:c>
      <x:c r="G21" s="8" t="str">
        <x:v>G1</x:v>
      </x:c>
      <x:c r="H21" s="8" t="str">
        <x:v>BACKLOG</x:v>
      </x:c>
      <x:c r="I21" s="8" t="str">
        <x:v>Não atribuído</x:v>
      </x:c>
      <x:c r="J21" s="8" t="str">
        <x:v>Backlog</x:v>
      </x:c>
      <x:c r="K21" s="8" t="str">
        <x:v>R1</x:v>
      </x:c>
      <x:c r="L21" s="9" t="str">
        <x:v>G1</x:v>
      </x:c>
      <x:c r="M21" s="9" t="str">
        <x:v>Implementação verificada por teste/evidência e documentação atualizada.</x:v>
      </x:c>
      <x:c r="N21" s="9" t="str">
        <x:v>Integração real depende de G1</x:v>
      </x:c>
    </x:row>
    <x:row r="22" ht="42" customHeight="1">
      <x:c r="A22" s="8" t="str">
        <x:v>ZNF-209</x:v>
      </x:c>
      <x:c r="B22" s="8" t="str">
        <x:v>ZNF-EP02</x:v>
      </x:c>
      <x:c r="C22" s="8" t="str">
        <x:v>Task</x:v>
      </x:c>
      <x:c r="D22" s="9" t="str">
        <x:v>Encerramento de sessões e remoção de acesso</x:v>
      </x:c>
      <x:c r="E22" s="8" t="str">
        <x:v>P1</x:v>
      </x:c>
      <x:c r="F22" s="10" t="n">
        <x:v>3</x:v>
      </x:c>
      <x:c r="G22" s="8" t="str">
        <x:v>G1</x:v>
      </x:c>
      <x:c r="H22" s="8" t="str">
        <x:v>BACKLOG</x:v>
      </x:c>
      <x:c r="I22" s="8" t="str">
        <x:v>Não atribuído</x:v>
      </x:c>
      <x:c r="J22" s="8" t="str">
        <x:v>Backlog</x:v>
      </x:c>
      <x:c r="K22" s="8" t="str">
        <x:v>R1</x:v>
      </x:c>
      <x:c r="L22" s="9" t="str">
        <x:v>G1</x:v>
      </x:c>
      <x:c r="M22" s="9" t="str">
        <x:v>Implementação verificada por teste/evidência e documentação atualizada.</x:v>
      </x:c>
      <x:c r="N22" s="9" t="str">
        <x:v>Integração real depende de G1</x:v>
      </x:c>
    </x:row>
    <x:row r="23" ht="42" customHeight="1">
      <x:c r="A23" s="8" t="str">
        <x:v>ZNF-301</x:v>
      </x:c>
      <x:c r="B23" s="8" t="str">
        <x:v>ZNF-EP03</x:v>
      </x:c>
      <x:c r="C23" s="8" t="str">
        <x:v>Story</x:v>
      </x:c>
      <x:c r="D23" s="9" t="str">
        <x:v>Wizard “Criar minha empresa”</x:v>
      </x:c>
      <x:c r="E23" s="8" t="str">
        <x:v>P1</x:v>
      </x:c>
      <x:c r="F23" s="10" t="n">
        <x:v>8</x:v>
      </x:c>
      <x:c r="G23" s="8" t="str">
        <x:v>G0/G1</x:v>
      </x:c>
      <x:c r="H23" s="8" t="str">
        <x:v>BACKLOG</x:v>
      </x:c>
      <x:c r="I23" s="8" t="str">
        <x:v>Não atribuído</x:v>
      </x:c>
      <x:c r="J23" s="8" t="str">
        <x:v>Sprint 2</x:v>
      </x:c>
      <x:c r="K23" s="8" t="str">
        <x:v>R1</x:v>
      </x:c>
      <x:c r="L23" s="9" t="str">
        <x:v>G0/G1</x:v>
      </x:c>
      <x:c r="M23" s="9" t="str">
        <x:v>Fluxo concluído pelo usuário e validado no servidor.</x:v>
      </x:c>
      <x:c r="N23" s="9" t="str">
        <x:v>Integração real depende de G0/G1</x:v>
      </x:c>
    </x:row>
    <x:row r="24" ht="42" customHeight="1">
      <x:c r="A24" s="8" t="str">
        <x:v>ZNF-302</x:v>
      </x:c>
      <x:c r="B24" s="8" t="str">
        <x:v>ZNF-EP03</x:v>
      </x:c>
      <x:c r="C24" s="8" t="str">
        <x:v>Story</x:v>
      </x:c>
      <x:c r="D24" s="9" t="str">
        <x:v>CNPJ, razão social, nome fantasia, endereço e contatos</x:v>
      </x:c>
      <x:c r="E24" s="8" t="str">
        <x:v>P1</x:v>
      </x:c>
      <x:c r="F24" s="10" t="n">
        <x:v>5</x:v>
      </x:c>
      <x:c r="G24" s="8" t="str">
        <x:v>G0/G1</x:v>
      </x:c>
      <x:c r="H24" s="8" t="str">
        <x:v>BACKLOG</x:v>
      </x:c>
      <x:c r="I24" s="8" t="str">
        <x:v>Não atribuído</x:v>
      </x:c>
      <x:c r="J24" s="8" t="str">
        <x:v>Sprint 2</x:v>
      </x:c>
      <x:c r="K24" s="8" t="str">
        <x:v>R1</x:v>
      </x:c>
      <x:c r="L24" s="9" t="str">
        <x:v>G0/G1</x:v>
      </x:c>
      <x:c r="M24" s="9" t="str">
        <x:v>Fluxo concluído pelo usuário e validado no servidor.</x:v>
      </x:c>
      <x:c r="N24" s="9" t="str">
        <x:v>Integração real depende de G0/G1</x:v>
      </x:c>
    </x:row>
    <x:row r="25" ht="42" customHeight="1">
      <x:c r="A25" s="8" t="str">
        <x:v>ZNF-303</x:v>
      </x:c>
      <x:c r="B25" s="8" t="str">
        <x:v>ZNF-EP03</x:v>
      </x:c>
      <x:c r="C25" s="8" t="str">
        <x:v>Task</x:v>
      </x:c>
      <x:c r="D25" s="9" t="str">
        <x:v>Validar e normalizar CNPJ, CEP, telefone e e-mail</x:v>
      </x:c>
      <x:c r="E25" s="8" t="str">
        <x:v>P0</x:v>
      </x:c>
      <x:c r="F25" s="10" t="n">
        <x:v>5</x:v>
      </x:c>
      <x:c r="G25" s="8" t="str">
        <x:v>G0</x:v>
      </x:c>
      <x:c r="H25" s="8" t="str">
        <x:v>BACKLOG</x:v>
      </x:c>
      <x:c r="I25" s="8" t="str">
        <x:v>Não atribuído</x:v>
      </x:c>
      <x:c r="J25" s="8" t="str">
        <x:v>Sprint 2</x:v>
      </x:c>
      <x:c r="K25" s="8" t="str">
        <x:v>R1</x:v>
      </x:c>
      <x:c r="L25" s="9" t="str">
        <x:v>G0</x:v>
      </x:c>
      <x:c r="M25" s="9" t="str">
        <x:v>Implementação verificada por teste/evidência e documentação atualizada.</x:v>
      </x:c>
      <x:c r="N25" s="9" t="str">
        <x:v>Sem dependência externa</x:v>
      </x:c>
    </x:row>
    <x:row r="26" ht="42" customHeight="1">
      <x:c r="A26" s="8" t="str">
        <x:v>ZNF-304</x:v>
      </x:c>
      <x:c r="B26" s="8" t="str">
        <x:v>ZNF-EP03</x:v>
      </x:c>
      <x:c r="C26" s="8" t="str">
        <x:v>Story</x:v>
      </x:c>
      <x:c r="D26" s="9" t="str">
        <x:v>Checklist de ativação da empresa</x:v>
      </x:c>
      <x:c r="E26" s="8" t="str">
        <x:v>P1</x:v>
      </x:c>
      <x:c r="F26" s="10" t="n">
        <x:v>5</x:v>
      </x:c>
      <x:c r="G26" s="8" t="str">
        <x:v>G0/G1</x:v>
      </x:c>
      <x:c r="H26" s="8" t="str">
        <x:v>BACKLOG</x:v>
      </x:c>
      <x:c r="I26" s="8" t="str">
        <x:v>Não atribuído</x:v>
      </x:c>
      <x:c r="J26" s="8" t="str">
        <x:v>Sprint 2</x:v>
      </x:c>
      <x:c r="K26" s="8" t="str">
        <x:v>R1</x:v>
      </x:c>
      <x:c r="L26" s="9" t="str">
        <x:v>G0/G1</x:v>
      </x:c>
      <x:c r="M26" s="9" t="str">
        <x:v>Fluxo concluído pelo usuário e validado no servidor.</x:v>
      </x:c>
      <x:c r="N26" s="9" t="str">
        <x:v>Integração real depende de G0/G1</x:v>
      </x:c>
    </x:row>
    <x:row r="27" ht="42" customHeight="1">
      <x:c r="A27" s="8" t="str">
        <x:v>ZNF-305</x:v>
      </x:c>
      <x:c r="B27" s="8" t="str">
        <x:v>ZNF-EP03</x:v>
      </x:c>
      <x:c r="C27" s="8" t="str">
        <x:v>Story</x:v>
      </x:c>
      <x:c r="D27" s="9" t="str">
        <x:v>Tela simples “Conectar WhatsApp” sem jargão WABA</x:v>
      </x:c>
      <x:c r="E27" s="8" t="str">
        <x:v>P1</x:v>
      </x:c>
      <x:c r="F27" s="10" t="n">
        <x:v>5</x:v>
      </x:c>
      <x:c r="G27" s="8" t="str">
        <x:v>G0</x:v>
      </x:c>
      <x:c r="H27" s="8" t="str">
        <x:v>BACKLOG</x:v>
      </x:c>
      <x:c r="I27" s="8" t="str">
        <x:v>Não atribuído</x:v>
      </x:c>
      <x:c r="J27" s="8" t="str">
        <x:v>Sprint 2</x:v>
      </x:c>
      <x:c r="K27" s="8" t="str">
        <x:v>R1</x:v>
      </x:c>
      <x:c r="L27" s="9" t="str">
        <x:v>G0</x:v>
      </x:c>
      <x:c r="M27" s="9" t="str">
        <x:v>Fluxo concluído pelo usuário e validado no servidor.</x:v>
      </x:c>
      <x:c r="N27" s="9" t="str">
        <x:v>Sem dependência externa</x:v>
      </x:c>
    </x:row>
    <x:row r="28" ht="42" customHeight="1">
      <x:c r="A28" s="8" t="str">
        <x:v>ZNF-306</x:v>
      </x:c>
      <x:c r="B28" s="8" t="str">
        <x:v>ZNF-EP03</x:v>
      </x:c>
      <x:c r="C28" s="8" t="str">
        <x:v>Story</x:v>
      </x:c>
      <x:c r="D28" s="9" t="str">
        <x:v>Onboarding assistido para cliente sem familiaridade com Meta</x:v>
      </x:c>
      <x:c r="E28" s="8" t="str">
        <x:v>P2</x:v>
      </x:c>
      <x:c r="F28" s="10" t="n">
        <x:v>5</x:v>
      </x:c>
      <x:c r="G28" s="8" t="str">
        <x:v>G0</x:v>
      </x:c>
      <x:c r="H28" s="8" t="str">
        <x:v>BACKLOG</x:v>
      </x:c>
      <x:c r="I28" s="8" t="str">
        <x:v>Não atribuído</x:v>
      </x:c>
      <x:c r="J28" s="8" t="str">
        <x:v>Sprint 2</x:v>
      </x:c>
      <x:c r="K28" s="8" t="str">
        <x:v>R1</x:v>
      </x:c>
      <x:c r="L28" s="9" t="str">
        <x:v>G0</x:v>
      </x:c>
      <x:c r="M28" s="9" t="str">
        <x:v>Fluxo concluído pelo usuário e validado no servidor.</x:v>
      </x:c>
      <x:c r="N28" s="9" t="str">
        <x:v>Sem dependência externa</x:v>
      </x:c>
    </x:row>
    <x:row r="29" ht="42" customHeight="1">
      <x:c r="A29" s="8" t="str">
        <x:v>ZNF-307</x:v>
      </x:c>
      <x:c r="B29" s="8" t="str">
        <x:v>ZNF-EP03</x:v>
      </x:c>
      <x:c r="C29" s="8" t="str">
        <x:v>Spike</x:v>
      </x:c>
      <x:c r="D29" s="9" t="str">
        <x:v>Confirmar elegibilidade e UX atual de Embedded Signup/Coexistence</x:v>
      </x:c>
      <x:c r="E29" s="8" t="str">
        <x:v>P1</x:v>
      </x:c>
      <x:c r="F29" s="10" t="n">
        <x:v>5</x:v>
      </x:c>
      <x:c r="G29" s="8" t="str">
        <x:v>G3</x:v>
      </x:c>
      <x:c r="H29" s="8" t="str">
        <x:v>BACKLOG</x:v>
      </x:c>
      <x:c r="I29" s="8" t="str">
        <x:v>Não atribuído</x:v>
      </x:c>
      <x:c r="J29" s="8" t="str">
        <x:v>Backlog</x:v>
      </x:c>
      <x:c r="K29" s="8" t="str">
        <x:v>R1</x:v>
      </x:c>
      <x:c r="L29" s="9" t="str">
        <x:v>G3</x:v>
      </x:c>
      <x:c r="M29" s="9" t="str">
        <x:v>Decisão registrada com evidências, riscos e próximo passo.</x:v>
      </x:c>
      <x:c r="N29" s="9" t="str">
        <x:v>Integração real depende de G3</x:v>
      </x:c>
    </x:row>
    <x:row r="30" ht="42" customHeight="1">
      <x:c r="A30" s="8" t="str">
        <x:v>ZNF-308</x:v>
      </x:c>
      <x:c r="B30" s="8" t="str">
        <x:v>ZNF-EP03</x:v>
      </x:c>
      <x:c r="C30" s="8" t="str">
        <x:v>Task</x:v>
      </x:c>
      <x:c r="D30" s="9" t="str">
        <x:v>Impedir avanço fiscal enquanto cadastro estiver incompleto</x:v>
      </x:c>
      <x:c r="E30" s="8" t="str">
        <x:v>P0</x:v>
      </x:c>
      <x:c r="F30" s="10" t="n">
        <x:v>3</x:v>
      </x:c>
      <x:c r="G30" s="8" t="str">
        <x:v>G1</x:v>
      </x:c>
      <x:c r="H30" s="8" t="str">
        <x:v>BACKLOG</x:v>
      </x:c>
      <x:c r="I30" s="8" t="str">
        <x:v>Não atribuído</x:v>
      </x:c>
      <x:c r="J30" s="8" t="str">
        <x:v>Backlog</x:v>
      </x:c>
      <x:c r="K30" s="8" t="str">
        <x:v>R1</x:v>
      </x:c>
      <x:c r="L30" s="9" t="str">
        <x:v>G1</x:v>
      </x:c>
      <x:c r="M30" s="9" t="str">
        <x:v>Implementação verificada por teste/evidência e documentação atualizada.</x:v>
      </x:c>
      <x:c r="N30" s="9" t="str">
        <x:v>Integração real depende de G1</x:v>
      </x:c>
    </x:row>
    <x:row r="31" ht="42" customHeight="1">
      <x:c r="A31" s="8" t="str">
        <x:v>ZNF-401</x:v>
      </x:c>
      <x:c r="B31" s="8" t="str">
        <x:v>ZNF-EP04</x:v>
      </x:c>
      <x:c r="C31" s="8" t="str">
        <x:v>Story</x:v>
      </x:c>
      <x:c r="D31" s="9" t="str">
        <x:v>Listar, pesquisar e paginar produtos</x:v>
      </x:c>
      <x:c r="E31" s="8" t="str">
        <x:v>P1</x:v>
      </x:c>
      <x:c r="F31" s="10" t="n">
        <x:v>5</x:v>
      </x:c>
      <x:c r="G31" s="8" t="str">
        <x:v>G0/G1</x:v>
      </x:c>
      <x:c r="H31" s="8" t="str">
        <x:v>BACKLOG</x:v>
      </x:c>
      <x:c r="I31" s="8" t="str">
        <x:v>Não atribuído</x:v>
      </x:c>
      <x:c r="J31" s="8" t="str">
        <x:v>Sprint 1</x:v>
      </x:c>
      <x:c r="K31" s="8" t="str">
        <x:v>R1</x:v>
      </x:c>
      <x:c r="L31" s="9" t="str">
        <x:v>G0/G1</x:v>
      </x:c>
      <x:c r="M31" s="9" t="str">
        <x:v>Fluxo concluído pelo usuário e validado no servidor.</x:v>
      </x:c>
      <x:c r="N31" s="9" t="str">
        <x:v>Integração real depende de G0/G1</x:v>
      </x:c>
    </x:row>
    <x:row r="32" ht="42" customHeight="1">
      <x:c r="A32" s="8" t="str">
        <x:v>ZNF-402</x:v>
      </x:c>
      <x:c r="B32" s="8" t="str">
        <x:v>ZNF-EP04</x:v>
      </x:c>
      <x:c r="C32" s="8" t="str">
        <x:v>Story</x:v>
      </x:c>
      <x:c r="D32" s="9" t="str">
        <x:v>Criar e editar produto, SKU, unidade, aliases e preço</x:v>
      </x:c>
      <x:c r="E32" s="8" t="str">
        <x:v>P1</x:v>
      </x:c>
      <x:c r="F32" s="10" t="n">
        <x:v>8</x:v>
      </x:c>
      <x:c r="G32" s="8" t="str">
        <x:v>G0/G1</x:v>
      </x:c>
      <x:c r="H32" s="8" t="str">
        <x:v>BACKLOG</x:v>
      </x:c>
      <x:c r="I32" s="8" t="str">
        <x:v>Não atribuído</x:v>
      </x:c>
      <x:c r="J32" s="8" t="str">
        <x:v>Sprint 1</x:v>
      </x:c>
      <x:c r="K32" s="8" t="str">
        <x:v>R1</x:v>
      </x:c>
      <x:c r="L32" s="9" t="str">
        <x:v>G0/G1</x:v>
      </x:c>
      <x:c r="M32" s="9" t="str">
        <x:v>Fluxo concluído pelo usuário e validado no servidor.</x:v>
      </x:c>
      <x:c r="N32" s="9" t="str">
        <x:v>Integração real depende de G0/G1</x:v>
      </x:c>
    </x:row>
    <x:row r="33" ht="42" customHeight="1">
      <x:c r="A33" s="8" t="str">
        <x:v>ZNF-403</x:v>
      </x:c>
      <x:c r="B33" s="8" t="str">
        <x:v>ZNF-EP04</x:v>
      </x:c>
      <x:c r="C33" s="8" t="str">
        <x:v>Story</x:v>
      </x:c>
      <x:c r="D33" s="9" t="str">
        <x:v>Inativar e reativar produto com auditoria</x:v>
      </x:c>
      <x:c r="E33" s="8" t="str">
        <x:v>P1</x:v>
      </x:c>
      <x:c r="F33" s="10" t="n">
        <x:v>3</x:v>
      </x:c>
      <x:c r="G33" s="8" t="str">
        <x:v>G0/G1</x:v>
      </x:c>
      <x:c r="H33" s="8" t="str">
        <x:v>BACKLOG</x:v>
      </x:c>
      <x:c r="I33" s="8" t="str">
        <x:v>Não atribuído</x:v>
      </x:c>
      <x:c r="J33" s="8" t="str">
        <x:v>Sprint 1</x:v>
      </x:c>
      <x:c r="K33" s="8" t="str">
        <x:v>R1</x:v>
      </x:c>
      <x:c r="L33" s="9" t="str">
        <x:v>G0/G1</x:v>
      </x:c>
      <x:c r="M33" s="9" t="str">
        <x:v>Fluxo concluído pelo usuário e validado no servidor.</x:v>
      </x:c>
      <x:c r="N33" s="9" t="str">
        <x:v>Integração real depende de G0/G1</x:v>
      </x:c>
    </x:row>
    <x:row r="34" ht="42" customHeight="1">
      <x:c r="A34" s="8" t="str">
        <x:v>ZNF-404</x:v>
      </x:c>
      <x:c r="B34" s="8" t="str">
        <x:v>ZNF-EP04</x:v>
      </x:c>
      <x:c r="C34" s="8" t="str">
        <x:v>Story</x:v>
      </x:c>
      <x:c r="D34" s="9" t="str">
        <x:v>Importar produtos por CSV com prévia e relatório de erros</x:v>
      </x:c>
      <x:c r="E34" s="8" t="str">
        <x:v>P1</x:v>
      </x:c>
      <x:c r="F34" s="10" t="n">
        <x:v>8</x:v>
      </x:c>
      <x:c r="G34" s="8" t="str">
        <x:v>G0/G1</x:v>
      </x:c>
      <x:c r="H34" s="8" t="str">
        <x:v>BACKLOG</x:v>
      </x:c>
      <x:c r="I34" s="8" t="str">
        <x:v>Não atribuído</x:v>
      </x:c>
      <x:c r="J34" s="8" t="str">
        <x:v>Sprint 1</x:v>
      </x:c>
      <x:c r="K34" s="8" t="str">
        <x:v>R1</x:v>
      </x:c>
      <x:c r="L34" s="9" t="str">
        <x:v>G0/G1</x:v>
      </x:c>
      <x:c r="M34" s="9" t="str">
        <x:v>Fluxo concluído pelo usuário e validado no servidor.</x:v>
      </x:c>
      <x:c r="N34" s="9" t="str">
        <x:v>Integração real depende de G0/G1</x:v>
      </x:c>
    </x:row>
    <x:row r="35" ht="42" customHeight="1">
      <x:c r="A35" s="8" t="str">
        <x:v>ZNF-405</x:v>
      </x:c>
      <x:c r="B35" s="8" t="str">
        <x:v>ZNF-EP04</x:v>
      </x:c>
      <x:c r="C35" s="8" t="str">
        <x:v>Story</x:v>
      </x:c>
      <x:c r="D35" s="9" t="str">
        <x:v>Listar e editar clientes</x:v>
      </x:c>
      <x:c r="E35" s="8" t="str">
        <x:v>P1</x:v>
      </x:c>
      <x:c r="F35" s="10" t="n">
        <x:v>5</x:v>
      </x:c>
      <x:c r="G35" s="8" t="str">
        <x:v>G0/G1</x:v>
      </x:c>
      <x:c r="H35" s="8" t="str">
        <x:v>BACKLOG</x:v>
      </x:c>
      <x:c r="I35" s="8" t="str">
        <x:v>Não atribuído</x:v>
      </x:c>
      <x:c r="J35" s="8" t="str">
        <x:v>Sprint 1</x:v>
      </x:c>
      <x:c r="K35" s="8" t="str">
        <x:v>R1</x:v>
      </x:c>
      <x:c r="L35" s="9" t="str">
        <x:v>G0/G1</x:v>
      </x:c>
      <x:c r="M35" s="9" t="str">
        <x:v>Fluxo concluído pelo usuário e validado no servidor.</x:v>
      </x:c>
      <x:c r="N35" s="9" t="str">
        <x:v>Integração real depende de G0/G1</x:v>
      </x:c>
    </x:row>
    <x:row r="36" ht="42" customHeight="1">
      <x:c r="A36" s="8" t="str">
        <x:v>ZNF-406</x:v>
      </x:c>
      <x:c r="B36" s="8" t="str">
        <x:v>ZNF-EP04</x:v>
      </x:c>
      <x:c r="C36" s="8" t="str">
        <x:v>Task</x:v>
      </x:c>
      <x:c r="D36" s="9" t="str">
        <x:v>Resolver duplicidade de cliente por telefone/documento</x:v>
      </x:c>
      <x:c r="E36" s="8" t="str">
        <x:v>P1</x:v>
      </x:c>
      <x:c r="F36" s="10" t="n">
        <x:v>5</x:v>
      </x:c>
      <x:c r="G36" s="8" t="str">
        <x:v>G0/G1</x:v>
      </x:c>
      <x:c r="H36" s="8" t="str">
        <x:v>BACKLOG</x:v>
      </x:c>
      <x:c r="I36" s="8" t="str">
        <x:v>Não atribuído</x:v>
      </x:c>
      <x:c r="J36" s="8" t="str">
        <x:v>Sprint 1</x:v>
      </x:c>
      <x:c r="K36" s="8" t="str">
        <x:v>R1</x:v>
      </x:c>
      <x:c r="L36" s="9" t="str">
        <x:v>G0/G1</x:v>
      </x:c>
      <x:c r="M36" s="9" t="str">
        <x:v>Implementação verificada por teste/evidência e documentação atualizada.</x:v>
      </x:c>
      <x:c r="N36" s="9" t="str">
        <x:v>Integração real depende de G0/G1</x:v>
      </x:c>
    </x:row>
    <x:row r="37" ht="42" customHeight="1">
      <x:c r="A37" s="8" t="str">
        <x:v>ZNF-407</x:v>
      </x:c>
      <x:c r="B37" s="8" t="str">
        <x:v>ZNF-EP04</x:v>
      </x:c>
      <x:c r="C37" s="8" t="str">
        <x:v>Story</x:v>
      </x:c>
      <x:c r="D37" s="9" t="str">
        <x:v>Adicionar NCM, CEST, CFOP, origem e tributação por produto</x:v>
      </x:c>
      <x:c r="E37" s="8" t="str">
        <x:v>P1</x:v>
      </x:c>
      <x:c r="F37" s="10" t="n">
        <x:v>8</x:v>
      </x:c>
      <x:c r="G37" s="8" t="str">
        <x:v>G0/G1/G4</x:v>
      </x:c>
      <x:c r="H37" s="8" t="str">
        <x:v>BACKLOG</x:v>
      </x:c>
      <x:c r="I37" s="8" t="str">
        <x:v>Não atribuído</x:v>
      </x:c>
      <x:c r="J37" s="8" t="str">
        <x:v>Backlog</x:v>
      </x:c>
      <x:c r="K37" s="8" t="str">
        <x:v>R1</x:v>
      </x:c>
      <x:c r="L37" s="9" t="str">
        <x:v>G0/G1/G4</x:v>
      </x:c>
      <x:c r="M37" s="9" t="str">
        <x:v>Fluxo concluído pelo usuário e validado no servidor.</x:v>
      </x:c>
      <x:c r="N37" s="9" t="str">
        <x:v>Integração real depende de G0/G1/G4</x:v>
      </x:c>
    </x:row>
    <x:row r="38" ht="42" customHeight="1">
      <x:c r="A38" s="8" t="str">
        <x:v>ZNF-408</x:v>
      </x:c>
      <x:c r="B38" s="8" t="str">
        <x:v>ZNF-EP04</x:v>
      </x:c>
      <x:c r="C38" s="8" t="str">
        <x:v>Task</x:v>
      </x:c>
      <x:c r="D38" s="9" t="str">
        <x:v>Validar catálogo antes de habilitar Gemini ou emissão</x:v>
      </x:c>
      <x:c r="E38" s="8" t="str">
        <x:v>P0</x:v>
      </x:c>
      <x:c r="F38" s="10" t="n">
        <x:v>5</x:v>
      </x:c>
      <x:c r="G38" s="8" t="str">
        <x:v>G0</x:v>
      </x:c>
      <x:c r="H38" s="8" t="str">
        <x:v>BACKLOG</x:v>
      </x:c>
      <x:c r="I38" s="8" t="str">
        <x:v>Não atribuído</x:v>
      </x:c>
      <x:c r="J38" s="8" t="str">
        <x:v>Backlog</x:v>
      </x:c>
      <x:c r="K38" s="8" t="str">
        <x:v>R1</x:v>
      </x:c>
      <x:c r="L38" s="9" t="str">
        <x:v>G0</x:v>
      </x:c>
      <x:c r="M38" s="9" t="str">
        <x:v>Implementação verificada por teste/evidência e documentação atualizada.</x:v>
      </x:c>
      <x:c r="N38" s="9" t="str">
        <x:v>Sem dependência externa</x:v>
      </x:c>
    </x:row>
    <x:row r="39" ht="42" customHeight="1">
      <x:c r="A39" s="8" t="str">
        <x:v>ZNF-409</x:v>
      </x:c>
      <x:c r="B39" s="8" t="str">
        <x:v>ZNF-EP04</x:v>
      </x:c>
      <x:c r="C39" s="8" t="str">
        <x:v>Story</x:v>
      </x:c>
      <x:c r="D39" s="9" t="str">
        <x:v>Exportar catálogo e clientes</x:v>
      </x:c>
      <x:c r="E39" s="8" t="str">
        <x:v>P2</x:v>
      </x:c>
      <x:c r="F39" s="10" t="n">
        <x:v>3</x:v>
      </x:c>
      <x:c r="G39" s="8" t="str">
        <x:v>G1</x:v>
      </x:c>
      <x:c r="H39" s="8" t="str">
        <x:v>BACKLOG</x:v>
      </x:c>
      <x:c r="I39" s="8" t="str">
        <x:v>Não atribuído</x:v>
      </x:c>
      <x:c r="J39" s="8" t="str">
        <x:v>Backlog</x:v>
      </x:c>
      <x:c r="K39" s="8" t="str">
        <x:v>R1</x:v>
      </x:c>
      <x:c r="L39" s="9" t="str">
        <x:v>G1</x:v>
      </x:c>
      <x:c r="M39" s="9" t="str">
        <x:v>Fluxo concluído pelo usuário e validado no servidor.</x:v>
      </x:c>
      <x:c r="N39" s="9" t="str">
        <x:v>Integração real depende de G1</x:v>
      </x:c>
    </x:row>
    <x:row r="40" ht="42" customHeight="1">
      <x:c r="A40" s="8" t="str">
        <x:v>ZNF-501</x:v>
      </x:c>
      <x:c r="B40" s="8" t="str">
        <x:v>ZNF-EP05</x:v>
      </x:c>
      <x:c r="C40" s="8" t="str">
        <x:v>Story</x:v>
      </x:c>
      <x:c r="D40" s="9" t="str">
        <x:v>Dashboard com indicadores reais da empresa</x:v>
      </x:c>
      <x:c r="E40" s="8" t="str">
        <x:v>P1</x:v>
      </x:c>
      <x:c r="F40" s="10" t="n">
        <x:v>8</x:v>
      </x:c>
      <x:c r="G40" s="8" t="str">
        <x:v>G0/G1</x:v>
      </x:c>
      <x:c r="H40" s="8" t="str">
        <x:v>BACKLOG</x:v>
      </x:c>
      <x:c r="I40" s="8" t="str">
        <x:v>Não atribuído</x:v>
      </x:c>
      <x:c r="J40" s="8" t="str">
        <x:v>Sprint 1</x:v>
      </x:c>
      <x:c r="K40" s="8" t="str">
        <x:v>R1</x:v>
      </x:c>
      <x:c r="L40" s="9" t="str">
        <x:v>G0/G1</x:v>
      </x:c>
      <x:c r="M40" s="9" t="str">
        <x:v>Fluxo concluído pelo usuário e validado no servidor.</x:v>
      </x:c>
      <x:c r="N40" s="9" t="str">
        <x:v>Integração real depende de G0/G1</x:v>
      </x:c>
    </x:row>
    <x:row r="41" ht="42" customHeight="1">
      <x:c r="A41" s="8" t="str">
        <x:v>ZNF-502</x:v>
      </x:c>
      <x:c r="B41" s="8" t="str">
        <x:v>ZNF-EP05</x:v>
      </x:c>
      <x:c r="C41" s="8" t="str">
        <x:v>Story</x:v>
      </x:c>
      <x:c r="D41" s="9" t="str">
        <x:v>Lista de pedidos com busca, filtros, status e paginação</x:v>
      </x:c>
      <x:c r="E41" s="8" t="str">
        <x:v>P1</x:v>
      </x:c>
      <x:c r="F41" s="10" t="n">
        <x:v>8</x:v>
      </x:c>
      <x:c r="G41" s="8" t="str">
        <x:v>G0/G1</x:v>
      </x:c>
      <x:c r="H41" s="8" t="str">
        <x:v>BACKLOG</x:v>
      </x:c>
      <x:c r="I41" s="8" t="str">
        <x:v>Não atribuído</x:v>
      </x:c>
      <x:c r="J41" s="8" t="str">
        <x:v>Sprint 1</x:v>
      </x:c>
      <x:c r="K41" s="8" t="str">
        <x:v>R1</x:v>
      </x:c>
      <x:c r="L41" s="9" t="str">
        <x:v>G0/G1</x:v>
      </x:c>
      <x:c r="M41" s="9" t="str">
        <x:v>Fluxo concluído pelo usuário e validado no servidor.</x:v>
      </x:c>
      <x:c r="N41" s="9" t="str">
        <x:v>Integração real depende de G0/G1</x:v>
      </x:c>
    </x:row>
    <x:row r="42" ht="42" customHeight="1">
      <x:c r="A42" s="8" t="str">
        <x:v>ZNF-503</x:v>
      </x:c>
      <x:c r="B42" s="8" t="str">
        <x:v>ZNF-EP05</x:v>
      </x:c>
      <x:c r="C42" s="8" t="str">
        <x:v>Story</x:v>
      </x:c>
      <x:c r="D42" s="9" t="str">
        <x:v>Detalhe do pedido com mensagem original e extração</x:v>
      </x:c>
      <x:c r="E42" s="8" t="str">
        <x:v>P1</x:v>
      </x:c>
      <x:c r="F42" s="10" t="n">
        <x:v>5</x:v>
      </x:c>
      <x:c r="G42" s="8" t="str">
        <x:v>G0/G1</x:v>
      </x:c>
      <x:c r="H42" s="8" t="str">
        <x:v>BACKLOG</x:v>
      </x:c>
      <x:c r="I42" s="8" t="str">
        <x:v>Não atribuído</x:v>
      </x:c>
      <x:c r="J42" s="8" t="str">
        <x:v>Sprint 1</x:v>
      </x:c>
      <x:c r="K42" s="8" t="str">
        <x:v>R1</x:v>
      </x:c>
      <x:c r="L42" s="9" t="str">
        <x:v>G0/G1</x:v>
      </x:c>
      <x:c r="M42" s="9" t="str">
        <x:v>Fluxo concluído pelo usuário e validado no servidor.</x:v>
      </x:c>
      <x:c r="N42" s="9" t="str">
        <x:v>Integração real depende de G0/G1</x:v>
      </x:c>
    </x:row>
    <x:row r="43" ht="42" customHeight="1">
      <x:c r="A43" s="8" t="str">
        <x:v>ZNF-504</x:v>
      </x:c>
      <x:c r="B43" s="8" t="str">
        <x:v>ZNF-EP05</x:v>
      </x:c>
      <x:c r="C43" s="8" t="str">
        <x:v>Story</x:v>
      </x:c>
      <x:c r="D43" s="9" t="str">
        <x:v>Editar cliente, produto, unidade, quantidade e preço</x:v>
      </x:c>
      <x:c r="E43" s="8" t="str">
        <x:v>P0</x:v>
      </x:c>
      <x:c r="F43" s="10" t="n">
        <x:v>8</x:v>
      </x:c>
      <x:c r="G43" s="8" t="str">
        <x:v>G0/G1</x:v>
      </x:c>
      <x:c r="H43" s="8" t="str">
        <x:v>BACKLOG</x:v>
      </x:c>
      <x:c r="I43" s="8" t="str">
        <x:v>Não atribuído</x:v>
      </x:c>
      <x:c r="J43" s="8" t="str">
        <x:v>Sprint 1</x:v>
      </x:c>
      <x:c r="K43" s="8" t="str">
        <x:v>R1</x:v>
      </x:c>
      <x:c r="L43" s="9" t="str">
        <x:v>G0/G1</x:v>
      </x:c>
      <x:c r="M43" s="9" t="str">
        <x:v>Fluxo concluído pelo usuário e validado no servidor.</x:v>
      </x:c>
      <x:c r="N43" s="9" t="str">
        <x:v>Integração real depende de G0/G1</x:v>
      </x:c>
    </x:row>
    <x:row r="44" ht="42" customHeight="1">
      <x:c r="A44" s="8" t="str">
        <x:v>ZNF-505</x:v>
      </x:c>
      <x:c r="B44" s="8" t="str">
        <x:v>ZNF-EP05</x:v>
      </x:c>
      <x:c r="C44" s="8" t="str">
        <x:v>Story</x:v>
      </x:c>
      <x:c r="D44" s="9" t="str">
        <x:v>Calcular subtotal, desconto, frete e total no servidor</x:v>
      </x:c>
      <x:c r="E44" s="8" t="str">
        <x:v>P0</x:v>
      </x:c>
      <x:c r="F44" s="10" t="n">
        <x:v>5</x:v>
      </x:c>
      <x:c r="G44" s="8" t="str">
        <x:v>G0/G1</x:v>
      </x:c>
      <x:c r="H44" s="8" t="str">
        <x:v>BACKLOG</x:v>
      </x:c>
      <x:c r="I44" s="8" t="str">
        <x:v>Não atribuído</x:v>
      </x:c>
      <x:c r="J44" s="8" t="str">
        <x:v>Sprint 1</x:v>
      </x:c>
      <x:c r="K44" s="8" t="str">
        <x:v>R1</x:v>
      </x:c>
      <x:c r="L44" s="9" t="str">
        <x:v>G0/G1</x:v>
      </x:c>
      <x:c r="M44" s="9" t="str">
        <x:v>Fluxo concluído pelo usuário e validado no servidor.</x:v>
      </x:c>
      <x:c r="N44" s="9" t="str">
        <x:v>Integração real depende de G0/G1</x:v>
      </x:c>
    </x:row>
    <x:row r="45" ht="42" customHeight="1">
      <x:c r="A45" s="8" t="str">
        <x:v>ZNF-506</x:v>
      </x:c>
      <x:c r="B45" s="8" t="str">
        <x:v>ZNF-EP05</x:v>
      </x:c>
      <x:c r="C45" s="8" t="str">
        <x:v>Story</x:v>
      </x:c>
      <x:c r="D45" s="9" t="str">
        <x:v>Destacar itens ambíguos e impedir aprovação silenciosa</x:v>
      </x:c>
      <x:c r="E45" s="8" t="str">
        <x:v>P0</x:v>
      </x:c>
      <x:c r="F45" s="10" t="n">
        <x:v>5</x:v>
      </x:c>
      <x:c r="G45" s="8" t="str">
        <x:v>G0/G1</x:v>
      </x:c>
      <x:c r="H45" s="8" t="str">
        <x:v>BACKLOG</x:v>
      </x:c>
      <x:c r="I45" s="8" t="str">
        <x:v>Não atribuído</x:v>
      </x:c>
      <x:c r="J45" s="8" t="str">
        <x:v>Sprint 1</x:v>
      </x:c>
      <x:c r="K45" s="8" t="str">
        <x:v>R1</x:v>
      </x:c>
      <x:c r="L45" s="9" t="str">
        <x:v>G0/G1</x:v>
      </x:c>
      <x:c r="M45" s="9" t="str">
        <x:v>Fluxo concluído pelo usuário e validado no servidor.</x:v>
      </x:c>
      <x:c r="N45" s="9" t="str">
        <x:v>Integração real depende de G0/G1</x:v>
      </x:c>
    </x:row>
    <x:row r="46" ht="42" customHeight="1">
      <x:c r="A46" s="8" t="str">
        <x:v>ZNF-507</x:v>
      </x:c>
      <x:c r="B46" s="8" t="str">
        <x:v>ZNF-EP05</x:v>
      </x:c>
      <x:c r="C46" s="8" t="str">
        <x:v>Story</x:v>
      </x:c>
      <x:c r="D46" s="9" t="str">
        <x:v>Fluxo `Recebido → Conferência → Faturado → Finalizado`</x:v>
      </x:c>
      <x:c r="E46" s="8" t="str">
        <x:v>P0</x:v>
      </x:c>
      <x:c r="F46" s="10" t="n">
        <x:v>5</x:v>
      </x:c>
      <x:c r="G46" s="8" t="str">
        <x:v>G0/G1</x:v>
      </x:c>
      <x:c r="H46" s="8" t="str">
        <x:v>BACKLOG</x:v>
      </x:c>
      <x:c r="I46" s="8" t="str">
        <x:v>Não atribuído</x:v>
      </x:c>
      <x:c r="J46" s="8" t="str">
        <x:v>Backlog</x:v>
      </x:c>
      <x:c r="K46" s="8" t="str">
        <x:v>R1</x:v>
      </x:c>
      <x:c r="L46" s="9" t="str">
        <x:v>G0/G1</x:v>
      </x:c>
      <x:c r="M46" s="9" t="str">
        <x:v>Fluxo concluído pelo usuário e validado no servidor.</x:v>
      </x:c>
      <x:c r="N46" s="9" t="str">
        <x:v>Integração real depende de G0/G1</x:v>
      </x:c>
    </x:row>
    <x:row r="47" ht="42" customHeight="1">
      <x:c r="A47" s="8" t="str">
        <x:v>ZNF-508</x:v>
      </x:c>
      <x:c r="B47" s="8" t="str">
        <x:v>ZNF-EP05</x:v>
      </x:c>
      <x:c r="C47" s="8" t="str">
        <x:v>Story</x:v>
      </x:c>
      <x:c r="D47" s="9" t="str">
        <x:v>Criar pedido manual sem WhatsApp</x:v>
      </x:c>
      <x:c r="E47" s="8" t="str">
        <x:v>P2</x:v>
      </x:c>
      <x:c r="F47" s="10" t="n">
        <x:v>5</x:v>
      </x:c>
      <x:c r="G47" s="8" t="str">
        <x:v>G0/G1</x:v>
      </x:c>
      <x:c r="H47" s="8" t="str">
        <x:v>BACKLOG</x:v>
      </x:c>
      <x:c r="I47" s="8" t="str">
        <x:v>Não atribuído</x:v>
      </x:c>
      <x:c r="J47" s="8" t="str">
        <x:v>Backlog</x:v>
      </x:c>
      <x:c r="K47" s="8" t="str">
        <x:v>R1</x:v>
      </x:c>
      <x:c r="L47" s="9" t="str">
        <x:v>G0/G1</x:v>
      </x:c>
      <x:c r="M47" s="9" t="str">
        <x:v>Fluxo concluído pelo usuário e validado no servidor.</x:v>
      </x:c>
      <x:c r="N47" s="9" t="str">
        <x:v>Integração real depende de G0/G1</x:v>
      </x:c>
    </x:row>
    <x:row r="48" ht="42" customHeight="1">
      <x:c r="A48" s="8" t="str">
        <x:v>ZNF-509</x:v>
      </x:c>
      <x:c r="B48" s="8" t="str">
        <x:v>ZNF-EP05</x:v>
      </x:c>
      <x:c r="C48" s="8" t="str">
        <x:v>Task</x:v>
      </x:c>
      <x:c r="D48" s="9" t="str">
        <x:v>Controle otimista para evitar duas aprovações simultâneas</x:v>
      </x:c>
      <x:c r="E48" s="8" t="str">
        <x:v>P0</x:v>
      </x:c>
      <x:c r="F48" s="10" t="n">
        <x:v>5</x:v>
      </x:c>
      <x:c r="G48" s="8" t="str">
        <x:v>G1</x:v>
      </x:c>
      <x:c r="H48" s="8" t="str">
        <x:v>BACKLOG</x:v>
      </x:c>
      <x:c r="I48" s="8" t="str">
        <x:v>Não atribuído</x:v>
      </x:c>
      <x:c r="J48" s="8" t="str">
        <x:v>Backlog</x:v>
      </x:c>
      <x:c r="K48" s="8" t="str">
        <x:v>R1</x:v>
      </x:c>
      <x:c r="L48" s="9" t="str">
        <x:v>G1</x:v>
      </x:c>
      <x:c r="M48" s="9" t="str">
        <x:v>Implementação verificada por teste/evidência e documentação atualizada.</x:v>
      </x:c>
      <x:c r="N48" s="9" t="str">
        <x:v>Integração real depende de G1</x:v>
      </x:c>
    </x:row>
    <x:row r="49" ht="42" customHeight="1">
      <x:c r="A49" s="8" t="str">
        <x:v>ZNF-510</x:v>
      </x:c>
      <x:c r="B49" s="8" t="str">
        <x:v>ZNF-EP05</x:v>
      </x:c>
      <x:c r="C49" s="8" t="str">
        <x:v>Story</x:v>
      </x:c>
      <x:c r="D49" s="9" t="str">
        <x:v>Histórico de alterações e responsável por cada decisão</x:v>
      </x:c>
      <x:c r="E49" s="8" t="str">
        <x:v>P1</x:v>
      </x:c>
      <x:c r="F49" s="10" t="n">
        <x:v>5</x:v>
      </x:c>
      <x:c r="G49" s="8" t="str">
        <x:v>G1</x:v>
      </x:c>
      <x:c r="H49" s="8" t="str">
        <x:v>BACKLOG</x:v>
      </x:c>
      <x:c r="I49" s="8" t="str">
        <x:v>Não atribuído</x:v>
      </x:c>
      <x:c r="J49" s="8" t="str">
        <x:v>Backlog</x:v>
      </x:c>
      <x:c r="K49" s="8" t="str">
        <x:v>R1</x:v>
      </x:c>
      <x:c r="L49" s="9" t="str">
        <x:v>G1</x:v>
      </x:c>
      <x:c r="M49" s="9" t="str">
        <x:v>Fluxo concluído pelo usuário e validado no servidor.</x:v>
      </x:c>
      <x:c r="N49" s="9" t="str">
        <x:v>Integração real depende de G1</x:v>
      </x:c>
    </x:row>
    <x:row r="50" ht="42" customHeight="1">
      <x:c r="A50" s="8" t="str">
        <x:v>ZNF-511</x:v>
      </x:c>
      <x:c r="B50" s="8" t="str">
        <x:v>ZNF-EP05</x:v>
      </x:c>
      <x:c r="C50" s="8" t="str">
        <x:v>Story</x:v>
      </x:c>
      <x:c r="D50" s="9" t="str">
        <x:v>Cancelar pedido com motivo, sem exclusão física</x:v>
      </x:c>
      <x:c r="E50" s="8" t="str">
        <x:v>P1</x:v>
      </x:c>
      <x:c r="F50" s="10" t="n">
        <x:v>3</x:v>
      </x:c>
      <x:c r="G50" s="8" t="str">
        <x:v>G1</x:v>
      </x:c>
      <x:c r="H50" s="8" t="str">
        <x:v>BACKLOG</x:v>
      </x:c>
      <x:c r="I50" s="8" t="str">
        <x:v>Não atribuído</x:v>
      </x:c>
      <x:c r="J50" s="8" t="str">
        <x:v>Backlog</x:v>
      </x:c>
      <x:c r="K50" s="8" t="str">
        <x:v>R1</x:v>
      </x:c>
      <x:c r="L50" s="9" t="str">
        <x:v>G1</x:v>
      </x:c>
      <x:c r="M50" s="9" t="str">
        <x:v>Fluxo concluído pelo usuário e validado no servidor.</x:v>
      </x:c>
      <x:c r="N50" s="9" t="str">
        <x:v>Integração real depende de G1</x:v>
      </x:c>
    </x:row>
    <x:row r="51" ht="42" customHeight="1">
      <x:c r="A51" s="8" t="str">
        <x:v>ZNF-601</x:v>
      </x:c>
      <x:c r="B51" s="8" t="str">
        <x:v>ZNF-EP06</x:v>
      </x:c>
      <x:c r="C51" s="8" t="str">
        <x:v>Task</x:v>
      </x:c>
      <x:c r="D51" s="9" t="str">
        <x:v>Definir contrato versionado de extração</x:v>
      </x:c>
      <x:c r="E51" s="8" t="str">
        <x:v>P0</x:v>
      </x:c>
      <x:c r="F51" s="10" t="n">
        <x:v>3</x:v>
      </x:c>
      <x:c r="G51" s="8" t="str">
        <x:v>G0</x:v>
      </x:c>
      <x:c r="H51" s="8" t="str">
        <x:v>PARTIAL</x:v>
      </x:c>
      <x:c r="I51" s="8" t="str">
        <x:v>Não atribuído</x:v>
      </x:c>
      <x:c r="J51" s="8" t="str">
        <x:v>Sprint 2</x:v>
      </x:c>
      <x:c r="K51" s="8" t="str">
        <x:v>R2</x:v>
      </x:c>
      <x:c r="L51" s="9" t="str">
        <x:v>G0</x:v>
      </x:c>
      <x:c r="M51" s="9" t="str">
        <x:v>Implementação verificada por teste/evidência e documentação atualizada.</x:v>
      </x:c>
      <x:c r="N51" s="9" t="str">
        <x:v>Sem dependência externa</x:v>
      </x:c>
    </x:row>
    <x:row r="52" ht="42" customHeight="1">
      <x:c r="A52" s="8" t="str">
        <x:v>ZNF-602</x:v>
      </x:c>
      <x:c r="B52" s="8" t="str">
        <x:v>ZNF-EP06</x:v>
      </x:c>
      <x:c r="C52" s="8" t="str">
        <x:v>Task</x:v>
      </x:c>
      <x:c r="D52" s="9" t="str">
        <x:v>Criar fake do Gemini e fixtures de mensagens brasileiras</x:v>
      </x:c>
      <x:c r="E52" s="8" t="str">
        <x:v>P1</x:v>
      </x:c>
      <x:c r="F52" s="10" t="n">
        <x:v>5</x:v>
      </x:c>
      <x:c r="G52" s="8" t="str">
        <x:v>G0</x:v>
      </x:c>
      <x:c r="H52" s="8" t="str">
        <x:v>BACKLOG</x:v>
      </x:c>
      <x:c r="I52" s="8" t="str">
        <x:v>Não atribuído</x:v>
      </x:c>
      <x:c r="J52" s="8" t="str">
        <x:v>Sprint 2</x:v>
      </x:c>
      <x:c r="K52" s="8" t="str">
        <x:v>R2</x:v>
      </x:c>
      <x:c r="L52" s="9" t="str">
        <x:v>G0</x:v>
      </x:c>
      <x:c r="M52" s="9" t="str">
        <x:v>Implementação verificada por teste/evidência e documentação atualizada.</x:v>
      </x:c>
      <x:c r="N52" s="9" t="str">
        <x:v>Sem dependência externa</x:v>
      </x:c>
    </x:row>
    <x:row r="53" ht="42" customHeight="1">
      <x:c r="A53" s="8" t="str">
        <x:v>ZNF-603</x:v>
      </x:c>
      <x:c r="B53" s="8" t="str">
        <x:v>ZNF-EP06</x:v>
      </x:c>
      <x:c r="C53" s="8" t="str">
        <x:v>Task</x:v>
      </x:c>
      <x:c r="D53" s="9" t="str">
        <x:v>Testar prompt injection e conteúdo malicioso como dado não confiável</x:v>
      </x:c>
      <x:c r="E53" s="8" t="str">
        <x:v>P0</x:v>
      </x:c>
      <x:c r="F53" s="10" t="n">
        <x:v>5</x:v>
      </x:c>
      <x:c r="G53" s="8" t="str">
        <x:v>G0/G2</x:v>
      </x:c>
      <x:c r="H53" s="8" t="str">
        <x:v>BACKLOG</x:v>
      </x:c>
      <x:c r="I53" s="8" t="str">
        <x:v>Não atribuído</x:v>
      </x:c>
      <x:c r="J53" s="8" t="str">
        <x:v>Sprint 2</x:v>
      </x:c>
      <x:c r="K53" s="8" t="str">
        <x:v>R2</x:v>
      </x:c>
      <x:c r="L53" s="9" t="str">
        <x:v>G0/G2</x:v>
      </x:c>
      <x:c r="M53" s="9" t="str">
        <x:v>Implementação verificada por teste/evidência e documentação atualizada.</x:v>
      </x:c>
      <x:c r="N53" s="9" t="str">
        <x:v>Integração real depende de G0/G2</x:v>
      </x:c>
    </x:row>
    <x:row r="54" ht="42" customHeight="1">
      <x:c r="A54" s="8" t="str">
        <x:v>ZNF-604</x:v>
      </x:c>
      <x:c r="B54" s="8" t="str">
        <x:v>ZNF-EP06</x:v>
      </x:c>
      <x:c r="C54" s="8" t="str">
        <x:v>Story</x:v>
      </x:c>
      <x:c r="D54" s="9" t="str">
        <x:v>Correspondência por SKU, nome, alias e contexto de unidade</x:v>
      </x:c>
      <x:c r="E54" s="8" t="str">
        <x:v>P1</x:v>
      </x:c>
      <x:c r="F54" s="10" t="n">
        <x:v>8</x:v>
      </x:c>
      <x:c r="G54" s="8" t="str">
        <x:v>G0/G2</x:v>
      </x:c>
      <x:c r="H54" s="8" t="str">
        <x:v>BACKLOG</x:v>
      </x:c>
      <x:c r="I54" s="8" t="str">
        <x:v>Não atribuído</x:v>
      </x:c>
      <x:c r="J54" s="8" t="str">
        <x:v>Sprint 2</x:v>
      </x:c>
      <x:c r="K54" s="8" t="str">
        <x:v>R2</x:v>
      </x:c>
      <x:c r="L54" s="9" t="str">
        <x:v>G0/G2</x:v>
      </x:c>
      <x:c r="M54" s="9" t="str">
        <x:v>Fluxo concluído pelo usuário e validado no servidor.</x:v>
      </x:c>
      <x:c r="N54" s="9" t="str">
        <x:v>Integração real depende de G0/G2</x:v>
      </x:c>
    </x:row>
    <x:row r="55" ht="42" customHeight="1">
      <x:c r="A55" s="8" t="str">
        <x:v>ZNF-605</x:v>
      </x:c>
      <x:c r="B55" s="8" t="str">
        <x:v>ZNF-EP06</x:v>
      </x:c>
      <x:c r="C55" s="8" t="str">
        <x:v>Story</x:v>
      </x:c>
      <x:c r="D55" s="9" t="str">
        <x:v>Limiar de confiança configurável por empresa</x:v>
      </x:c>
      <x:c r="E55" s="8" t="str">
        <x:v>P2</x:v>
      </x:c>
      <x:c r="F55" s="10" t="n">
        <x:v>3</x:v>
      </x:c>
      <x:c r="G55" s="8" t="str">
        <x:v>G1/G2</x:v>
      </x:c>
      <x:c r="H55" s="8" t="str">
        <x:v>BACKLOG</x:v>
      </x:c>
      <x:c r="I55" s="8" t="str">
        <x:v>Não atribuído</x:v>
      </x:c>
      <x:c r="J55" s="8" t="str">
        <x:v>Sprint 2</x:v>
      </x:c>
      <x:c r="K55" s="8" t="str">
        <x:v>R2</x:v>
      </x:c>
      <x:c r="L55" s="9" t="str">
        <x:v>G1/G2</x:v>
      </x:c>
      <x:c r="M55" s="9" t="str">
        <x:v>Fluxo concluído pelo usuário e validado no servidor.</x:v>
      </x:c>
      <x:c r="N55" s="9" t="str">
        <x:v>Integração real depende de G1/G2</x:v>
      </x:c>
    </x:row>
    <x:row r="56" ht="42" customHeight="1">
      <x:c r="A56" s="8" t="str">
        <x:v>ZNF-606</x:v>
      </x:c>
      <x:c r="B56" s="8" t="str">
        <x:v>ZNF-EP06</x:v>
      </x:c>
      <x:c r="C56" s="8" t="str">
        <x:v>Task</x:v>
      </x:c>
      <x:c r="D56" s="9" t="str">
        <x:v>Conjunto dourado de pedidos e métricas precision/recall</x:v>
      </x:c>
      <x:c r="E56" s="8" t="str">
        <x:v>P1</x:v>
      </x:c>
      <x:c r="F56" s="10" t="n">
        <x:v>8</x:v>
      </x:c>
      <x:c r="G56" s="8" t="str">
        <x:v>G0/G2</x:v>
      </x:c>
      <x:c r="H56" s="8" t="str">
        <x:v>BACKLOG</x:v>
      </x:c>
      <x:c r="I56" s="8" t="str">
        <x:v>Não atribuído</x:v>
      </x:c>
      <x:c r="J56" s="8" t="str">
        <x:v>Sprint 2</x:v>
      </x:c>
      <x:c r="K56" s="8" t="str">
        <x:v>R2</x:v>
      </x:c>
      <x:c r="L56" s="9" t="str">
        <x:v>G0/G2</x:v>
      </x:c>
      <x:c r="M56" s="9" t="str">
        <x:v>Implementação verificada por teste/evidência e documentação atualizada.</x:v>
      </x:c>
      <x:c r="N56" s="9" t="str">
        <x:v>Integração real depende de G0/G2</x:v>
      </x:c>
    </x:row>
    <x:row r="57" ht="42" customHeight="1">
      <x:c r="A57" s="8" t="str">
        <x:v>ZNF-607</x:v>
      </x:c>
      <x:c r="B57" s="8" t="str">
        <x:v>ZNF-EP06</x:v>
      </x:c>
      <x:c r="C57" s="8" t="str">
        <x:v>Story</x:v>
      </x:c>
      <x:c r="D57" s="9" t="str">
        <x:v>Reprocessar mensagem falha sem duplicar pedido</x:v>
      </x:c>
      <x:c r="E57" s="8" t="str">
        <x:v>P0</x:v>
      </x:c>
      <x:c r="F57" s="10" t="n">
        <x:v>5</x:v>
      </x:c>
      <x:c r="G57" s="8" t="str">
        <x:v>G1/G2</x:v>
      </x:c>
      <x:c r="H57" s="8" t="str">
        <x:v>BACKLOG</x:v>
      </x:c>
      <x:c r="I57" s="8" t="str">
        <x:v>Não atribuído</x:v>
      </x:c>
      <x:c r="J57" s="8" t="str">
        <x:v>Sprint 3–4</x:v>
      </x:c>
      <x:c r="K57" s="8" t="str">
        <x:v>R2</x:v>
      </x:c>
      <x:c r="L57" s="9" t="str">
        <x:v>G1/G2</x:v>
      </x:c>
      <x:c r="M57" s="9" t="str">
        <x:v>Fluxo concluído pelo usuário e validado no servidor.</x:v>
      </x:c>
      <x:c r="N57" s="9" t="str">
        <x:v>Integração real depende de G1/G2</x:v>
      </x:c>
    </x:row>
    <x:row r="58" ht="42" customHeight="1">
      <x:c r="A58" s="8" t="str">
        <x:v>ZNF-608</x:v>
      </x:c>
      <x:c r="B58" s="8" t="str">
        <x:v>ZNF-EP06</x:v>
      </x:c>
      <x:c r="C58" s="8" t="str">
        <x:v>Task</x:v>
      </x:c>
      <x:c r="D58" s="9" t="str">
        <x:v>Limitar custo, catálogo e frequência de chamadas</x:v>
      </x:c>
      <x:c r="E58" s="8" t="str">
        <x:v>P1</x:v>
      </x:c>
      <x:c r="F58" s="10" t="n">
        <x:v>5</x:v>
      </x:c>
      <x:c r="G58" s="8" t="str">
        <x:v>G1/G2</x:v>
      </x:c>
      <x:c r="H58" s="8" t="str">
        <x:v>BACKLOG</x:v>
      </x:c>
      <x:c r="I58" s="8" t="str">
        <x:v>Não atribuído</x:v>
      </x:c>
      <x:c r="J58" s="8" t="str">
        <x:v>Sprint 3–4</x:v>
      </x:c>
      <x:c r="K58" s="8" t="str">
        <x:v>R2</x:v>
      </x:c>
      <x:c r="L58" s="9" t="str">
        <x:v>G1/G2</x:v>
      </x:c>
      <x:c r="M58" s="9" t="str">
        <x:v>Implementação verificada por teste/evidência e documentação atualizada.</x:v>
      </x:c>
      <x:c r="N58" s="9" t="str">
        <x:v>Integração real depende de G1/G2</x:v>
      </x:c>
    </x:row>
    <x:row r="59" ht="42" customHeight="1">
      <x:c r="A59" s="8" t="str">
        <x:v>ZNF-609</x:v>
      </x:c>
      <x:c r="B59" s="8" t="str">
        <x:v>ZNF-EP06</x:v>
      </x:c>
      <x:c r="C59" s="8" t="str">
        <x:v>Spike</x:v>
      </x:c>
      <x:c r="D59" s="9" t="str">
        <x:v>Avaliar áudio somente depois de texto atingir meta de qualidade</x:v>
      </x:c>
      <x:c r="E59" s="8" t="str">
        <x:v>P3</x:v>
      </x:c>
      <x:c r="F59" s="10" t="n">
        <x:v>3</x:v>
      </x:c>
      <x:c r="G59" s="8" t="str">
        <x:v>G2/G3</x:v>
      </x:c>
      <x:c r="H59" s="8" t="str">
        <x:v>BACKLOG</x:v>
      </x:c>
      <x:c r="I59" s="8" t="str">
        <x:v>Não atribuído</x:v>
      </x:c>
      <x:c r="J59" s="8" t="str">
        <x:v>Sprint 3–4</x:v>
      </x:c>
      <x:c r="K59" s="8" t="str">
        <x:v>R2</x:v>
      </x:c>
      <x:c r="L59" s="9" t="str">
        <x:v>G2/G3</x:v>
      </x:c>
      <x:c r="M59" s="9" t="str">
        <x:v>Decisão registrada com evidências, riscos e próximo passo.</x:v>
      </x:c>
      <x:c r="N59" s="9" t="str">
        <x:v>Integração real depende de G2/G3</x:v>
      </x:c>
    </x:row>
    <x:row r="60" ht="42" customHeight="1">
      <x:c r="A60" s="8" t="str">
        <x:v>ZNF-701</x:v>
      </x:c>
      <x:c r="B60" s="8" t="str">
        <x:v>ZNF-EP07</x:v>
      </x:c>
      <x:c r="C60" s="8" t="str">
        <x:v>Task</x:v>
      </x:c>
      <x:c r="D60" s="9" t="str">
        <x:v>Validar webhook GET com challenge</x:v>
      </x:c>
      <x:c r="E60" s="8" t="str">
        <x:v>P0</x:v>
      </x:c>
      <x:c r="F60" s="10" t="n">
        <x:v>3</x:v>
      </x:c>
      <x:c r="G60" s="8" t="str">
        <x:v>G3</x:v>
      </x:c>
      <x:c r="H60" s="8" t="str">
        <x:v>PARTIAL</x:v>
      </x:c>
      <x:c r="I60" s="8" t="str">
        <x:v>Não atribuído</x:v>
      </x:c>
      <x:c r="J60" s="8" t="str">
        <x:v>Sprint 3–4</x:v>
      </x:c>
      <x:c r="K60" s="8" t="str">
        <x:v>R2</x:v>
      </x:c>
      <x:c r="L60" s="9" t="str">
        <x:v>G3</x:v>
      </x:c>
      <x:c r="M60" s="9" t="str">
        <x:v>Implementação verificada por teste/evidência e documentação atualizada.</x:v>
      </x:c>
      <x:c r="N60" s="9" t="str">
        <x:v>Integração real depende de G3</x:v>
      </x:c>
    </x:row>
    <x:row r="61" ht="42" customHeight="1">
      <x:c r="A61" s="8" t="str">
        <x:v>ZNF-702</x:v>
      </x:c>
      <x:c r="B61" s="8" t="str">
        <x:v>ZNF-EP07</x:v>
      </x:c>
      <x:c r="C61" s="8" t="str">
        <x:v>Task</x:v>
      </x:c>
      <x:c r="D61" s="9" t="str">
        <x:v>Validar POST por HMAC do corpo bruto</x:v>
      </x:c>
      <x:c r="E61" s="8" t="str">
        <x:v>P0</x:v>
      </x:c>
      <x:c r="F61" s="10" t="n">
        <x:v>5</x:v>
      </x:c>
      <x:c r="G61" s="8" t="str">
        <x:v>G3</x:v>
      </x:c>
      <x:c r="H61" s="8" t="str">
        <x:v>PARTIAL</x:v>
      </x:c>
      <x:c r="I61" s="8" t="str">
        <x:v>Não atribuído</x:v>
      </x:c>
      <x:c r="J61" s="8" t="str">
        <x:v>Sprint 3–4</x:v>
      </x:c>
      <x:c r="K61" s="8" t="str">
        <x:v>R2</x:v>
      </x:c>
      <x:c r="L61" s="9" t="str">
        <x:v>G3</x:v>
      </x:c>
      <x:c r="M61" s="9" t="str">
        <x:v>Implementação verificada por teste/evidência e documentação atualizada.</x:v>
      </x:c>
      <x:c r="N61" s="9" t="str">
        <x:v>Integração real depende de G3</x:v>
      </x:c>
    </x:row>
    <x:row r="62" ht="42" customHeight="1">
      <x:c r="A62" s="8" t="str">
        <x:v>ZNF-703</x:v>
      </x:c>
      <x:c r="B62" s="8" t="str">
        <x:v>ZNF-EP07</x:v>
      </x:c>
      <x:c r="C62" s="8" t="str">
        <x:v>Task</x:v>
      </x:c>
      <x:c r="D62" s="9" t="str">
        <x:v>Persistir evento e responder rapidamente</x:v>
      </x:c>
      <x:c r="E62" s="8" t="str">
        <x:v>P0</x:v>
      </x:c>
      <x:c r="F62" s="10" t="n">
        <x:v>5</x:v>
      </x:c>
      <x:c r="G62" s="8" t="str">
        <x:v>G1/G3</x:v>
      </x:c>
      <x:c r="H62" s="8" t="str">
        <x:v>PARTIAL</x:v>
      </x:c>
      <x:c r="I62" s="8" t="str">
        <x:v>Não atribuído</x:v>
      </x:c>
      <x:c r="J62" s="8" t="str">
        <x:v>Sprint 3–4</x:v>
      </x:c>
      <x:c r="K62" s="8" t="str">
        <x:v>R2</x:v>
      </x:c>
      <x:c r="L62" s="9" t="str">
        <x:v>G1/G3</x:v>
      </x:c>
      <x:c r="M62" s="9" t="str">
        <x:v>Implementação verificada por teste/evidência e documentação atualizada.</x:v>
      </x:c>
      <x:c r="N62" s="9" t="str">
        <x:v>Integração real depende de G1/G3</x:v>
      </x:c>
    </x:row>
    <x:row r="63" ht="42" customHeight="1">
      <x:c r="A63" s="8" t="str">
        <x:v>ZNF-704</x:v>
      </x:c>
      <x:c r="B63" s="8" t="str">
        <x:v>ZNF-EP07</x:v>
      </x:c>
      <x:c r="C63" s="8" t="str">
        <x:v>Task</x:v>
      </x:c>
      <x:c r="D63" s="9" t="str">
        <x:v>Substituir processamento apenas em `after()` por fila durável</x:v>
      </x:c>
      <x:c r="E63" s="8" t="str">
        <x:v>P0</x:v>
      </x:c>
      <x:c r="F63" s="10" t="n">
        <x:v>8</x:v>
      </x:c>
      <x:c r="G63" s="8" t="str">
        <x:v>G1</x:v>
      </x:c>
      <x:c r="H63" s="8" t="str">
        <x:v>BACKLOG</x:v>
      </x:c>
      <x:c r="I63" s="8" t="str">
        <x:v>Não atribuído</x:v>
      </x:c>
      <x:c r="J63" s="8" t="str">
        <x:v>Sprint 3–4</x:v>
      </x:c>
      <x:c r="K63" s="8" t="str">
        <x:v>R2</x:v>
      </x:c>
      <x:c r="L63" s="9" t="str">
        <x:v>G1</x:v>
      </x:c>
      <x:c r="M63" s="9" t="str">
        <x:v>Implementação verificada por teste/evidência e documentação atualizada.</x:v>
      </x:c>
      <x:c r="N63" s="9" t="str">
        <x:v>Integração real depende de G1</x:v>
      </x:c>
    </x:row>
    <x:row r="64" ht="42" customHeight="1">
      <x:c r="A64" s="8" t="str">
        <x:v>ZNF-705</x:v>
      </x:c>
      <x:c r="B64" s="8" t="str">
        <x:v>ZNF-EP07</x:v>
      </x:c>
      <x:c r="C64" s="8" t="str">
        <x:v>Task</x:v>
      </x:c>
      <x:c r="D64" s="9" t="str">
        <x:v>Deduplicar eventos e impedir regressão de status</x:v>
      </x:c>
      <x:c r="E64" s="8" t="str">
        <x:v>P0</x:v>
      </x:c>
      <x:c r="F64" s="10" t="n">
        <x:v>8</x:v>
      </x:c>
      <x:c r="G64" s="8" t="str">
        <x:v>G1/G3</x:v>
      </x:c>
      <x:c r="H64" s="8" t="str">
        <x:v>BACKLOG</x:v>
      </x:c>
      <x:c r="I64" s="8" t="str">
        <x:v>Não atribuído</x:v>
      </x:c>
      <x:c r="J64" s="8" t="str">
        <x:v>Sprint 3–4</x:v>
      </x:c>
      <x:c r="K64" s="8" t="str">
        <x:v>R2</x:v>
      </x:c>
      <x:c r="L64" s="9" t="str">
        <x:v>G1/G3</x:v>
      </x:c>
      <x:c r="M64" s="9" t="str">
        <x:v>Implementação verificada por teste/evidência e documentação atualizada.</x:v>
      </x:c>
      <x:c r="N64" s="9" t="str">
        <x:v>Integração real depende de G1/G3</x:v>
      </x:c>
    </x:row>
    <x:row r="65" ht="42" customHeight="1">
      <x:c r="A65" s="8" t="str">
        <x:v>ZNF-706</x:v>
      </x:c>
      <x:c r="B65" s="8" t="str">
        <x:v>ZNF-EP07</x:v>
      </x:c>
      <x:c r="C65" s="8" t="str">
        <x:v>Story</x:v>
      </x:c>
      <x:c r="D65" s="9" t="str">
        <x:v>Embedded Signup server-side por organização</x:v>
      </x:c>
      <x:c r="E65" s="8" t="str">
        <x:v>P1</x:v>
      </x:c>
      <x:c r="F65" s="10" t="n">
        <x:v>13</x:v>
      </x:c>
      <x:c r="G65" s="8" t="str">
        <x:v>G3</x:v>
      </x:c>
      <x:c r="H65" s="8" t="str">
        <x:v>BACKLOG</x:v>
      </x:c>
      <x:c r="I65" s="8" t="str">
        <x:v>Não atribuído</x:v>
      </x:c>
      <x:c r="J65" s="8" t="str">
        <x:v>Sprint 3–4</x:v>
      </x:c>
      <x:c r="K65" s="8" t="str">
        <x:v>R2</x:v>
      </x:c>
      <x:c r="L65" s="9" t="str">
        <x:v>G3</x:v>
      </x:c>
      <x:c r="M65" s="9" t="str">
        <x:v>Fluxo concluído pelo usuário e validado no servidor.</x:v>
      </x:c>
      <x:c r="N65" s="9" t="str">
        <x:v>Integração real depende de G3</x:v>
      </x:c>
    </x:row>
    <x:row r="66" ht="42" customHeight="1">
      <x:c r="A66" s="8" t="str">
        <x:v>ZNF-707</x:v>
      </x:c>
      <x:c r="B66" s="8" t="str">
        <x:v>ZNF-EP07</x:v>
      </x:c>
      <x:c r="C66" s="8" t="str">
        <x:v>Task</x:v>
      </x:c>
      <x:c r="D66" s="9" t="str">
        <x:v>Registrar WABA, phone number ID e número exibido</x:v>
      </x:c>
      <x:c r="E66" s="8" t="str">
        <x:v>P1</x:v>
      </x:c>
      <x:c r="F66" s="10" t="n">
        <x:v>5</x:v>
      </x:c>
      <x:c r="G66" s="8" t="str">
        <x:v>G1/G3</x:v>
      </x:c>
      <x:c r="H66" s="8" t="str">
        <x:v>BACKLOG</x:v>
      </x:c>
      <x:c r="I66" s="8" t="str">
        <x:v>Não atribuído</x:v>
      </x:c>
      <x:c r="J66" s="8" t="str">
        <x:v>Sprint 3–4</x:v>
      </x:c>
      <x:c r="K66" s="8" t="str">
        <x:v>R2</x:v>
      </x:c>
      <x:c r="L66" s="9" t="str">
        <x:v>G1/G3</x:v>
      </x:c>
      <x:c r="M66" s="9" t="str">
        <x:v>Implementação verificada por teste/evidência e documentação atualizada.</x:v>
      </x:c>
      <x:c r="N66" s="9" t="str">
        <x:v>Integração real depende de G1/G3</x:v>
      </x:c>
    </x:row>
    <x:row r="67" ht="42" customHeight="1">
      <x:c r="A67" s="8" t="str">
        <x:v>ZNF-708</x:v>
      </x:c>
      <x:c r="B67" s="8" t="str">
        <x:v>ZNF-EP07</x:v>
      </x:c>
      <x:c r="C67" s="8" t="str">
        <x:v>Task</x:v>
      </x:c>
      <x:c r="D67" s="9" t="str">
        <x:v>Assinar o App na WABA e verificar assinatura</x:v>
      </x:c>
      <x:c r="E67" s="8" t="str">
        <x:v>P1</x:v>
      </x:c>
      <x:c r="F67" s="10" t="n">
        <x:v>5</x:v>
      </x:c>
      <x:c r="G67" s="8" t="str">
        <x:v>G3</x:v>
      </x:c>
      <x:c r="H67" s="8" t="str">
        <x:v>BACKLOG</x:v>
      </x:c>
      <x:c r="I67" s="8" t="str">
        <x:v>Não atribuído</x:v>
      </x:c>
      <x:c r="J67" s="8" t="str">
        <x:v>Sprint 3–4</x:v>
      </x:c>
      <x:c r="K67" s="8" t="str">
        <x:v>R2</x:v>
      </x:c>
      <x:c r="L67" s="9" t="str">
        <x:v>G3</x:v>
      </x:c>
      <x:c r="M67" s="9" t="str">
        <x:v>Implementação verificada por teste/evidência e documentação atualizada.</x:v>
      </x:c>
      <x:c r="N67" s="9" t="str">
        <x:v>Integração real depende de G3</x:v>
      </x:c>
    </x:row>
    <x:row r="68" ht="42" customHeight="1">
      <x:c r="A68" s="8" t="str">
        <x:v>ZNF-709</x:v>
      </x:c>
      <x:c r="B68" s="8" t="str">
        <x:v>ZNF-EP07</x:v>
      </x:c>
      <x:c r="C68" s="8" t="str">
        <x:v>Story</x:v>
      </x:c>
      <x:c r="D68" s="9" t="str">
        <x:v>Exibir status da conexão e diagnóstico seguro</x:v>
      </x:c>
      <x:c r="E68" s="8" t="str">
        <x:v>P1</x:v>
      </x:c>
      <x:c r="F68" s="10" t="n">
        <x:v>5</x:v>
      </x:c>
      <x:c r="G68" s="8" t="str">
        <x:v>G1/G3</x:v>
      </x:c>
      <x:c r="H68" s="8" t="str">
        <x:v>BACKLOG</x:v>
      </x:c>
      <x:c r="I68" s="8" t="str">
        <x:v>Não atribuído</x:v>
      </x:c>
      <x:c r="J68" s="8" t="str">
        <x:v>Sprint 3–4</x:v>
      </x:c>
      <x:c r="K68" s="8" t="str">
        <x:v>R2</x:v>
      </x:c>
      <x:c r="L68" s="9" t="str">
        <x:v>G1/G3</x:v>
      </x:c>
      <x:c r="M68" s="9" t="str">
        <x:v>Fluxo concluído pelo usuário e validado no servidor.</x:v>
      </x:c>
      <x:c r="N68" s="9" t="str">
        <x:v>Integração real depende de G1/G3</x:v>
      </x:c>
    </x:row>
    <x:row r="69" ht="42" customHeight="1">
      <x:c r="A69" s="8" t="str">
        <x:v>ZNF-710</x:v>
      </x:c>
      <x:c r="B69" s="8" t="str">
        <x:v>ZNF-EP07</x:v>
      </x:c>
      <x:c r="C69" s="8" t="str">
        <x:v>Story</x:v>
      </x:c>
      <x:c r="D69" s="9" t="str">
        <x:v>Desconectar integração e revogar credenciais</x:v>
      </x:c>
      <x:c r="E69" s="8" t="str">
        <x:v>P1</x:v>
      </x:c>
      <x:c r="F69" s="10" t="n">
        <x:v>5</x:v>
      </x:c>
      <x:c r="G69" s="8" t="str">
        <x:v>G1/G3</x:v>
      </x:c>
      <x:c r="H69" s="8" t="str">
        <x:v>BACKLOG</x:v>
      </x:c>
      <x:c r="I69" s="8" t="str">
        <x:v>Não atribuído</x:v>
      </x:c>
      <x:c r="J69" s="8" t="str">
        <x:v>Sprint 3–4</x:v>
      </x:c>
      <x:c r="K69" s="8" t="str">
        <x:v>R2</x:v>
      </x:c>
      <x:c r="L69" s="9" t="str">
        <x:v>G1/G3</x:v>
      </x:c>
      <x:c r="M69" s="9" t="str">
        <x:v>Fluxo concluído pelo usuário e validado no servidor.</x:v>
      </x:c>
      <x:c r="N69" s="9" t="str">
        <x:v>Integração real depende de G1/G3</x:v>
      </x:c>
    </x:row>
    <x:row r="70" ht="42" customHeight="1">
      <x:c r="A70" s="8" t="str">
        <x:v>ZNF-711</x:v>
      </x:c>
      <x:c r="B70" s="8" t="str">
        <x:v>ZNF-EP07</x:v>
      </x:c>
      <x:c r="C70" s="8" t="str">
        <x:v>Task</x:v>
      </x:c>
      <x:c r="D70" s="9" t="str">
        <x:v>Implementar rate limit, replay protection e quarentena</x:v>
      </x:c>
      <x:c r="E70" s="8" t="str">
        <x:v>P0</x:v>
      </x:c>
      <x:c r="F70" s="10" t="n">
        <x:v>8</x:v>
      </x:c>
      <x:c r="G70" s="8" t="str">
        <x:v>G1/G3</x:v>
      </x:c>
      <x:c r="H70" s="8" t="str">
        <x:v>BACKLOG</x:v>
      </x:c>
      <x:c r="I70" s="8" t="str">
        <x:v>Não atribuído</x:v>
      </x:c>
      <x:c r="J70" s="8" t="str">
        <x:v>Sprint 3–4</x:v>
      </x:c>
      <x:c r="K70" s="8" t="str">
        <x:v>R2</x:v>
      </x:c>
      <x:c r="L70" s="9" t="str">
        <x:v>G1/G3</x:v>
      </x:c>
      <x:c r="M70" s="9" t="str">
        <x:v>Implementação verificada por teste/evidência e documentação atualizada.</x:v>
      </x:c>
      <x:c r="N70" s="9" t="str">
        <x:v>Integração real depende de G1/G3</x:v>
      </x:c>
    </x:row>
    <x:row r="71" ht="42" customHeight="1">
      <x:c r="A71" s="8" t="str">
        <x:v>ZNF-712</x:v>
      </x:c>
      <x:c r="B71" s="8" t="str">
        <x:v>ZNF-EP07</x:v>
      </x:c>
      <x:c r="C71" s="8" t="str">
        <x:v>Spike</x:v>
      </x:c>
      <x:c r="D71" s="9" t="str">
        <x:v>Validar Coexistence para o público piloto</x:v>
      </x:c>
      <x:c r="E71" s="8" t="str">
        <x:v>P1</x:v>
      </x:c>
      <x:c r="F71" s="10" t="n">
        <x:v>5</x:v>
      </x:c>
      <x:c r="G71" s="8" t="str">
        <x:v>G3</x:v>
      </x:c>
      <x:c r="H71" s="8" t="str">
        <x:v>BACKLOG</x:v>
      </x:c>
      <x:c r="I71" s="8" t="str">
        <x:v>Não atribuído</x:v>
      </x:c>
      <x:c r="J71" s="8" t="str">
        <x:v>Sprint 3–4</x:v>
      </x:c>
      <x:c r="K71" s="8" t="str">
        <x:v>R2</x:v>
      </x:c>
      <x:c r="L71" s="9" t="str">
        <x:v>G3</x:v>
      </x:c>
      <x:c r="M71" s="9" t="str">
        <x:v>Decisão registrada com evidências, riscos e próximo passo.</x:v>
      </x:c>
      <x:c r="N71" s="9" t="str">
        <x:v>Integração real depende de G3</x:v>
      </x:c>
    </x:row>
    <x:row r="72" ht="42" customHeight="1">
      <x:c r="A72" s="8" t="str">
        <x:v>ZNF-713</x:v>
      </x:c>
      <x:c r="B72" s="8" t="str">
        <x:v>ZNF-EP07</x:v>
      </x:c>
      <x:c r="C72" s="8" t="str">
        <x:v>Task</x:v>
      </x:c>
      <x:c r="D72" s="9" t="str">
        <x:v>Preparar App Review, permissões e evidências</x:v>
      </x:c>
      <x:c r="E72" s="8" t="str">
        <x:v>P1</x:v>
      </x:c>
      <x:c r="F72" s="10" t="n">
        <x:v>8</x:v>
      </x:c>
      <x:c r="G72" s="8" t="str">
        <x:v>G3/G6</x:v>
      </x:c>
      <x:c r="H72" s="8" t="str">
        <x:v>BACKLOG</x:v>
      </x:c>
      <x:c r="I72" s="8" t="str">
        <x:v>Não atribuído</x:v>
      </x:c>
      <x:c r="J72" s="8" t="str">
        <x:v>Sprint 3–4</x:v>
      </x:c>
      <x:c r="K72" s="8" t="str">
        <x:v>R2</x:v>
      </x:c>
      <x:c r="L72" s="9" t="str">
        <x:v>G3/G6</x:v>
      </x:c>
      <x:c r="M72" s="9" t="str">
        <x:v>Implementação verificada por teste/evidência e documentação atualizada.</x:v>
      </x:c>
      <x:c r="N72" s="9" t="str">
        <x:v>Integração real depende de G3/G6</x:v>
      </x:c>
    </x:row>
    <x:row r="73" ht="42" customHeight="1">
      <x:c r="A73" s="8" t="str">
        <x:v>ZNF-801</x:v>
      </x:c>
      <x:c r="B73" s="8" t="str">
        <x:v>ZNF-EP08</x:v>
      </x:c>
      <x:c r="C73" s="8" t="str">
        <x:v>Spike</x:v>
      </x:c>
      <x:c r="D73" s="9" t="str">
        <x:v>Mapear cadastro fiscal mínimo por regime/UF/nicho</x:v>
      </x:c>
      <x:c r="E73" s="8" t="str">
        <x:v>P0</x:v>
      </x:c>
      <x:c r="F73" s="10" t="n">
        <x:v>8</x:v>
      </x:c>
      <x:c r="G73" s="8" t="str">
        <x:v>G4</x:v>
      </x:c>
      <x:c r="H73" s="8" t="str">
        <x:v>BACKLOG</x:v>
      </x:c>
      <x:c r="I73" s="8" t="str">
        <x:v>Não atribuído</x:v>
      </x:c>
      <x:c r="J73" s="8" t="str">
        <x:v>Sprint 2</x:v>
      </x:c>
      <x:c r="K73" s="8" t="str">
        <x:v>R3</x:v>
      </x:c>
      <x:c r="L73" s="9" t="str">
        <x:v>G4</x:v>
      </x:c>
      <x:c r="M73" s="9" t="str">
        <x:v>Decisão registrada com evidências, riscos e próximo passo.</x:v>
      </x:c>
      <x:c r="N73" s="9" t="str">
        <x:v>Integração real depende de G4</x:v>
      </x:c>
    </x:row>
    <x:row r="74" ht="42" customHeight="1">
      <x:c r="A74" s="8" t="str">
        <x:v>ZNF-802</x:v>
      </x:c>
      <x:c r="B74" s="8" t="str">
        <x:v>ZNF-EP08</x:v>
      </x:c>
      <x:c r="C74" s="8" t="str">
        <x:v>Task</x:v>
      </x:c>
      <x:c r="D74" s="9" t="str">
        <x:v>Criar tabelas de configuração fiscal e documentos</x:v>
      </x:c>
      <x:c r="E74" s="8" t="str">
        <x:v>P0</x:v>
      </x:c>
      <x:c r="F74" s="10" t="n">
        <x:v>8</x:v>
      </x:c>
      <x:c r="G74" s="8" t="str">
        <x:v>G0</x:v>
      </x:c>
      <x:c r="H74" s="8" t="str">
        <x:v>BACKLOG</x:v>
      </x:c>
      <x:c r="I74" s="8" t="str">
        <x:v>Não atribuído</x:v>
      </x:c>
      <x:c r="J74" s="8" t="str">
        <x:v>Sprint 2</x:v>
      </x:c>
      <x:c r="K74" s="8" t="str">
        <x:v>R3</x:v>
      </x:c>
      <x:c r="L74" s="9" t="str">
        <x:v>G0</x:v>
      </x:c>
      <x:c r="M74" s="9" t="str">
        <x:v>Implementação verificada por teste/evidência e documentação atualizada.</x:v>
      </x:c>
      <x:c r="N74" s="9" t="str">
        <x:v>Sem dependência externa</x:v>
      </x:c>
    </x:row>
    <x:row r="75" ht="42" customHeight="1">
      <x:c r="A75" s="8" t="str">
        <x:v>ZNF-803</x:v>
      </x:c>
      <x:c r="B75" s="8" t="str">
        <x:v>ZNF-EP08</x:v>
      </x:c>
      <x:c r="C75" s="8" t="str">
        <x:v>Story</x:v>
      </x:c>
      <x:c r="D75" s="9" t="str">
        <x:v>Tela de configuração fiscal da empresa</x:v>
      </x:c>
      <x:c r="E75" s="8" t="str">
        <x:v>P1</x:v>
      </x:c>
      <x:c r="F75" s="10" t="n">
        <x:v>8</x:v>
      </x:c>
      <x:c r="G75" s="8" t="str">
        <x:v>G0/G1</x:v>
      </x:c>
      <x:c r="H75" s="8" t="str">
        <x:v>BACKLOG</x:v>
      </x:c>
      <x:c r="I75" s="8" t="str">
        <x:v>Não atribuído</x:v>
      </x:c>
      <x:c r="J75" s="8" t="str">
        <x:v>Sprint 2</x:v>
      </x:c>
      <x:c r="K75" s="8" t="str">
        <x:v>R3</x:v>
      </x:c>
      <x:c r="L75" s="9" t="str">
        <x:v>G0/G1</x:v>
      </x:c>
      <x:c r="M75" s="9" t="str">
        <x:v>Fluxo concluído pelo usuário e validado no servidor.</x:v>
      </x:c>
      <x:c r="N75" s="9" t="str">
        <x:v>Integração real depende de G0/G1</x:v>
      </x:c>
    </x:row>
    <x:row r="76" ht="42" customHeight="1">
      <x:c r="A76" s="8" t="str">
        <x:v>ZNF-804</x:v>
      </x:c>
      <x:c r="B76" s="8" t="str">
        <x:v>ZNF-EP08</x:v>
      </x:c>
      <x:c r="C76" s="8" t="str">
        <x:v>Story</x:v>
      </x:c>
      <x:c r="D76" s="9" t="str">
        <x:v>Upload A1 autenticado com validação de formato/tamanho</x:v>
      </x:c>
      <x:c r="E76" s="8" t="str">
        <x:v>P0</x:v>
      </x:c>
      <x:c r="F76" s="10" t="n">
        <x:v>8</x:v>
      </x:c>
      <x:c r="G76" s="8" t="str">
        <x:v>G0/G5</x:v>
      </x:c>
      <x:c r="H76" s="8" t="str">
        <x:v>BACKLOG</x:v>
      </x:c>
      <x:c r="I76" s="8" t="str">
        <x:v>Não atribuído</x:v>
      </x:c>
      <x:c r="J76" s="8" t="str">
        <x:v>Sprint 2</x:v>
      </x:c>
      <x:c r="K76" s="8" t="str">
        <x:v>R3</x:v>
      </x:c>
      <x:c r="L76" s="9" t="str">
        <x:v>G0/G5</x:v>
      </x:c>
      <x:c r="M76" s="9" t="str">
        <x:v>Fluxo concluído pelo usuário e validado no servidor.</x:v>
      </x:c>
      <x:c r="N76" s="9" t="str">
        <x:v>Integração real depende de G0/G5</x:v>
      </x:c>
    </x:row>
    <x:row r="77" ht="42" customHeight="1">
      <x:c r="A77" s="8" t="str">
        <x:v>ZNF-805</x:v>
      </x:c>
      <x:c r="B77" s="8" t="str">
        <x:v>ZNF-EP08</x:v>
      </x:c>
      <x:c r="C77" s="8" t="str">
        <x:v>Task</x:v>
      </x:c>
      <x:c r="D77" s="9" t="str">
        <x:v>ADR de custódia do A1: envio direto ao provedor ou criptografia temporária</x:v>
      </x:c>
      <x:c r="E77" s="8" t="str">
        <x:v>P0</x:v>
      </x:c>
      <x:c r="F77" s="10" t="n">
        <x:v>5</x:v>
      </x:c>
      <x:c r="G77" s="8" t="str">
        <x:v>G0/G4</x:v>
      </x:c>
      <x:c r="H77" s="8" t="str">
        <x:v>BACKLOG</x:v>
      </x:c>
      <x:c r="I77" s="8" t="str">
        <x:v>Não atribuído</x:v>
      </x:c>
      <x:c r="J77" s="8" t="str">
        <x:v>Sprint 2</x:v>
      </x:c>
      <x:c r="K77" s="8" t="str">
        <x:v>R3</x:v>
      </x:c>
      <x:c r="L77" s="9" t="str">
        <x:v>G0/G4</x:v>
      </x:c>
      <x:c r="M77" s="9" t="str">
        <x:v>Implementação verificada por teste/evidência e documentação atualizada.</x:v>
      </x:c>
      <x:c r="N77" s="9" t="str">
        <x:v>Integração real depende de G0/G4</x:v>
      </x:c>
    </x:row>
    <x:row r="78" ht="42" customHeight="1">
      <x:c r="A78" s="8" t="str">
        <x:v>ZNF-806</x:v>
      </x:c>
      <x:c r="B78" s="8" t="str">
        <x:v>ZNF-EP08</x:v>
      </x:c>
      <x:c r="C78" s="8" t="str">
        <x:v>Task</x:v>
      </x:c>
      <x:c r="D78" s="9" t="str">
        <x:v>Adaptador Focus com transporte fake e contract tests</x:v>
      </x:c>
      <x:c r="E78" s="8" t="str">
        <x:v>P0</x:v>
      </x:c>
      <x:c r="F78" s="10" t="n">
        <x:v>8</x:v>
      </x:c>
      <x:c r="G78" s="8" t="str">
        <x:v>G0</x:v>
      </x:c>
      <x:c r="H78" s="8" t="str">
        <x:v>BACKLOG</x:v>
      </x:c>
      <x:c r="I78" s="8" t="str">
        <x:v>Não atribuído</x:v>
      </x:c>
      <x:c r="J78" s="8" t="str">
        <x:v>Sprint 2</x:v>
      </x:c>
      <x:c r="K78" s="8" t="str">
        <x:v>R3</x:v>
      </x:c>
      <x:c r="L78" s="9" t="str">
        <x:v>G0</x:v>
      </x:c>
      <x:c r="M78" s="9" t="str">
        <x:v>Implementação verificada por teste/evidência e documentação atualizada.</x:v>
      </x:c>
      <x:c r="N78" s="9" t="str">
        <x:v>Sem dependência externa</x:v>
      </x:c>
    </x:row>
    <x:row r="79" ht="42" customHeight="1">
      <x:c r="A79" s="8" t="str">
        <x:v>ZNF-807</x:v>
      </x:c>
      <x:c r="B79" s="8" t="str">
        <x:v>ZNF-EP08</x:v>
      </x:c>
      <x:c r="C79" s="8" t="str">
        <x:v>Story</x:v>
      </x:c>
      <x:c r="D79" s="9" t="str">
        <x:v>Validador de prontidão fiscal antes da aprovação</x:v>
      </x:c>
      <x:c r="E79" s="8" t="str">
        <x:v>P0</x:v>
      </x:c>
      <x:c r="F79" s="10" t="n">
        <x:v>8</x:v>
      </x:c>
      <x:c r="G79" s="8" t="str">
        <x:v>G0/G1/G4</x:v>
      </x:c>
      <x:c r="H79" s="8" t="str">
        <x:v>BACKLOG</x:v>
      </x:c>
      <x:c r="I79" s="8" t="str">
        <x:v>Não atribuído</x:v>
      </x:c>
      <x:c r="J79" s="8" t="str">
        <x:v>Sprint 5–6</x:v>
      </x:c>
      <x:c r="K79" s="8" t="str">
        <x:v>R3</x:v>
      </x:c>
      <x:c r="L79" s="9" t="str">
        <x:v>G0/G1/G4</x:v>
      </x:c>
      <x:c r="M79" s="9" t="str">
        <x:v>Fluxo concluído pelo usuário e validado no servidor.</x:v>
      </x:c>
      <x:c r="N79" s="9" t="str">
        <x:v>Integração real depende de G0/G1/G4</x:v>
      </x:c>
    </x:row>
    <x:row r="80" ht="42" customHeight="1">
      <x:c r="A80" s="8" t="str">
        <x:v>ZNF-808</x:v>
      </x:c>
      <x:c r="B80" s="8" t="str">
        <x:v>ZNF-EP08</x:v>
      </x:c>
      <x:c r="C80" s="8" t="str">
        <x:v>Story</x:v>
      </x:c>
      <x:c r="D80" s="9" t="str">
        <x:v>Emitir NF-e assíncrona usando referência idempotente</x:v>
      </x:c>
      <x:c r="E80" s="8" t="str">
        <x:v>P0</x:v>
      </x:c>
      <x:c r="F80" s="10" t="n">
        <x:v>13</x:v>
      </x:c>
      <x:c r="G80" s="8" t="str">
        <x:v>G4/G5</x:v>
      </x:c>
      <x:c r="H80" s="8" t="str">
        <x:v>BACKLOG</x:v>
      </x:c>
      <x:c r="I80" s="8" t="str">
        <x:v>Não atribuído</x:v>
      </x:c>
      <x:c r="J80" s="8" t="str">
        <x:v>Sprint 5–6</x:v>
      </x:c>
      <x:c r="K80" s="8" t="str">
        <x:v>R3</x:v>
      </x:c>
      <x:c r="L80" s="9" t="str">
        <x:v>G4/G5</x:v>
      </x:c>
      <x:c r="M80" s="9" t="str">
        <x:v>Fluxo concluído pelo usuário e validado no servidor.</x:v>
      </x:c>
      <x:c r="N80" s="9" t="str">
        <x:v>Integração real depende de G4/G5</x:v>
      </x:c>
    </x:row>
    <x:row r="81" ht="42" customHeight="1">
      <x:c r="A81" s="8" t="str">
        <x:v>ZNF-809</x:v>
      </x:c>
      <x:c r="B81" s="8" t="str">
        <x:v>ZNF-EP08</x:v>
      </x:c>
      <x:c r="C81" s="8" t="str">
        <x:v>Task</x:v>
      </x:c>
      <x:c r="D81" s="9" t="str">
        <x:v>Receber e autenticar webhook da Focus</x:v>
      </x:c>
      <x:c r="E81" s="8" t="str">
        <x:v>P0</x:v>
      </x:c>
      <x:c r="F81" s="10" t="n">
        <x:v>8</x:v>
      </x:c>
      <x:c r="G81" s="8" t="str">
        <x:v>G4</x:v>
      </x:c>
      <x:c r="H81" s="8" t="str">
        <x:v>BACKLOG</x:v>
      </x:c>
      <x:c r="I81" s="8" t="str">
        <x:v>Não atribuído</x:v>
      </x:c>
      <x:c r="J81" s="8" t="str">
        <x:v>Sprint 5–6</x:v>
      </x:c>
      <x:c r="K81" s="8" t="str">
        <x:v>R3</x:v>
      </x:c>
      <x:c r="L81" s="9" t="str">
        <x:v>G4</x:v>
      </x:c>
      <x:c r="M81" s="9" t="str">
        <x:v>Implementação verificada por teste/evidência e documentação atualizada.</x:v>
      </x:c>
      <x:c r="N81" s="9" t="str">
        <x:v>Integração real depende de G4</x:v>
      </x:c>
    </x:row>
    <x:row r="82" ht="42" customHeight="1">
      <x:c r="A82" s="8" t="str">
        <x:v>ZNF-810</x:v>
      </x:c>
      <x:c r="B82" s="8" t="str">
        <x:v>ZNF-EP08</x:v>
      </x:c>
      <x:c r="C82" s="8" t="str">
        <x:v>Story</x:v>
      </x:c>
      <x:c r="D82" s="9" t="str">
        <x:v>Consultar situação e reconciliar nota pendente</x:v>
      </x:c>
      <x:c r="E82" s="8" t="str">
        <x:v>P0</x:v>
      </x:c>
      <x:c r="F82" s="10" t="n">
        <x:v>5</x:v>
      </x:c>
      <x:c r="G82" s="8" t="str">
        <x:v>G4</x:v>
      </x:c>
      <x:c r="H82" s="8" t="str">
        <x:v>BACKLOG</x:v>
      </x:c>
      <x:c r="I82" s="8" t="str">
        <x:v>Não atribuído</x:v>
      </x:c>
      <x:c r="J82" s="8" t="str">
        <x:v>Sprint 5–6</x:v>
      </x:c>
      <x:c r="K82" s="8" t="str">
        <x:v>R3</x:v>
      </x:c>
      <x:c r="L82" s="9" t="str">
        <x:v>G4</x:v>
      </x:c>
      <x:c r="M82" s="9" t="str">
        <x:v>Fluxo concluído pelo usuário e validado no servidor.</x:v>
      </x:c>
      <x:c r="N82" s="9" t="str">
        <x:v>Integração real depende de G4</x:v>
      </x:c>
    </x:row>
    <x:row r="83" ht="42" customHeight="1">
      <x:c r="A83" s="8" t="str">
        <x:v>ZNF-811</x:v>
      </x:c>
      <x:c r="B83" s="8" t="str">
        <x:v>ZNF-EP08</x:v>
      </x:c>
      <x:c r="C83" s="8" t="str">
        <x:v>Story</x:v>
      </x:c>
      <x:c r="D83" s="9" t="str">
        <x:v>Exibir autorização, rejeição e correção necessária</x:v>
      </x:c>
      <x:c r="E83" s="8" t="str">
        <x:v>P1</x:v>
      </x:c>
      <x:c r="F83" s="10" t="n">
        <x:v>5</x:v>
      </x:c>
      <x:c r="G83" s="8" t="str">
        <x:v>G1/G4</x:v>
      </x:c>
      <x:c r="H83" s="8" t="str">
        <x:v>BACKLOG</x:v>
      </x:c>
      <x:c r="I83" s="8" t="str">
        <x:v>Não atribuído</x:v>
      </x:c>
      <x:c r="J83" s="8" t="str">
        <x:v>Sprint 5–6</x:v>
      </x:c>
      <x:c r="K83" s="8" t="str">
        <x:v>R3</x:v>
      </x:c>
      <x:c r="L83" s="9" t="str">
        <x:v>G1/G4</x:v>
      </x:c>
      <x:c r="M83" s="9" t="str">
        <x:v>Fluxo concluído pelo usuário e validado no servidor.</x:v>
      </x:c>
      <x:c r="N83" s="9" t="str">
        <x:v>Integração real depende de G1/G4</x:v>
      </x:c>
    </x:row>
    <x:row r="84" ht="42" customHeight="1">
      <x:c r="A84" s="8" t="str">
        <x:v>ZNF-812</x:v>
      </x:c>
      <x:c r="B84" s="8" t="str">
        <x:v>ZNF-EP08</x:v>
      </x:c>
      <x:c r="C84" s="8" t="str">
        <x:v>Task</x:v>
      </x:c>
      <x:c r="D84" s="9" t="str">
        <x:v>Persistir chave, protocolo, XML, DANFE e payload sanitizado</x:v>
      </x:c>
      <x:c r="E84" s="8" t="str">
        <x:v>P0</x:v>
      </x:c>
      <x:c r="F84" s="10" t="n">
        <x:v>8</x:v>
      </x:c>
      <x:c r="G84" s="8" t="str">
        <x:v>G1/G4</x:v>
      </x:c>
      <x:c r="H84" s="8" t="str">
        <x:v>BACKLOG</x:v>
      </x:c>
      <x:c r="I84" s="8" t="str">
        <x:v>Não atribuído</x:v>
      </x:c>
      <x:c r="J84" s="8" t="str">
        <x:v>Sprint 5–6</x:v>
      </x:c>
      <x:c r="K84" s="8" t="str">
        <x:v>R3</x:v>
      </x:c>
      <x:c r="L84" s="9" t="str">
        <x:v>G1/G4</x:v>
      </x:c>
      <x:c r="M84" s="9" t="str">
        <x:v>Implementação verificada por teste/evidência e documentação atualizada.</x:v>
      </x:c>
      <x:c r="N84" s="9" t="str">
        <x:v>Integração real depende de G1/G4</x:v>
      </x:c>
    </x:row>
    <x:row r="85" ht="42" customHeight="1">
      <x:c r="A85" s="8" t="str">
        <x:v>ZNF-813</x:v>
      </x:c>
      <x:c r="B85" s="8" t="str">
        <x:v>ZNF-EP08</x:v>
      </x:c>
      <x:c r="C85" s="8" t="str">
        <x:v>Story</x:v>
      </x:c>
      <x:c r="D85" s="9" t="str">
        <x:v>Cancelamento de NF-e dentro das regras aplicáveis</x:v>
      </x:c>
      <x:c r="E85" s="8" t="str">
        <x:v>P2</x:v>
      </x:c>
      <x:c r="F85" s="10" t="n">
        <x:v>8</x:v>
      </x:c>
      <x:c r="G85" s="8" t="str">
        <x:v>G4</x:v>
      </x:c>
      <x:c r="H85" s="8" t="str">
        <x:v>BACKLOG</x:v>
      </x:c>
      <x:c r="I85" s="8" t="str">
        <x:v>Não atribuído</x:v>
      </x:c>
      <x:c r="J85" s="8" t="str">
        <x:v>Sprint 5–6</x:v>
      </x:c>
      <x:c r="K85" s="8" t="str">
        <x:v>R3</x:v>
      </x:c>
      <x:c r="L85" s="9" t="str">
        <x:v>G4</x:v>
      </x:c>
      <x:c r="M85" s="9" t="str">
        <x:v>Fluxo concluído pelo usuário e validado no servidor.</x:v>
      </x:c>
      <x:c r="N85" s="9" t="str">
        <x:v>Integração real depende de G4</x:v>
      </x:c>
    </x:row>
    <x:row r="86" ht="42" customHeight="1">
      <x:c r="A86" s="8" t="str">
        <x:v>ZNF-814</x:v>
      </x:c>
      <x:c r="B86" s="8" t="str">
        <x:v>ZNF-EP08</x:v>
      </x:c>
      <x:c r="C86" s="8" t="str">
        <x:v>Story</x:v>
      </x:c>
      <x:c r="D86" s="9" t="str">
        <x:v>Carta de correção e inutilização</x:v>
      </x:c>
      <x:c r="E86" s="8" t="str">
        <x:v>P3</x:v>
      </x:c>
      <x:c r="F86" s="10" t="n">
        <x:v>8</x:v>
      </x:c>
      <x:c r="G86" s="8" t="str">
        <x:v>G4</x:v>
      </x:c>
      <x:c r="H86" s="8" t="str">
        <x:v>BACKLOG</x:v>
      </x:c>
      <x:c r="I86" s="8" t="str">
        <x:v>Não atribuído</x:v>
      </x:c>
      <x:c r="J86" s="8" t="str">
        <x:v>Sprint 5–6</x:v>
      </x:c>
      <x:c r="K86" s="8" t="str">
        <x:v>R3</x:v>
      </x:c>
      <x:c r="L86" s="9" t="str">
        <x:v>G4</x:v>
      </x:c>
      <x:c r="M86" s="9" t="str">
        <x:v>Fluxo concluído pelo usuário e validado no servidor.</x:v>
      </x:c>
      <x:c r="N86" s="9" t="str">
        <x:v>Integração real depende de G4</x:v>
      </x:c>
    </x:row>
    <x:row r="87" ht="42" customHeight="1">
      <x:c r="A87" s="8" t="str">
        <x:v>ZNF-901</x:v>
      </x:c>
      <x:c r="B87" s="8" t="str">
        <x:v>ZNF-EP09</x:v>
      </x:c>
      <x:c r="C87" s="8" t="str">
        <x:v>Story</x:v>
      </x:c>
      <x:c r="D87" s="9" t="str">
        <x:v>Gerar links autenticados/expiráveis para DANFE e XML</x:v>
      </x:c>
      <x:c r="E87" s="8" t="str">
        <x:v>P0</x:v>
      </x:c>
      <x:c r="F87" s="10" t="n">
        <x:v>5</x:v>
      </x:c>
      <x:c r="G87" s="8" t="str">
        <x:v>G1/G4</x:v>
      </x:c>
      <x:c r="H87" s="8" t="str">
        <x:v>BACKLOG</x:v>
      </x:c>
      <x:c r="I87" s="8" t="str">
        <x:v>Não atribuído</x:v>
      </x:c>
      <x:c r="J87" s="8" t="str">
        <x:v>Sprint 5–6</x:v>
      </x:c>
      <x:c r="K87" s="8" t="str">
        <x:v>R3</x:v>
      </x:c>
      <x:c r="L87" s="9" t="str">
        <x:v>G1/G4</x:v>
      </x:c>
      <x:c r="M87" s="9" t="str">
        <x:v>Fluxo concluído pelo usuário e validado no servidor.</x:v>
      </x:c>
      <x:c r="N87" s="9" t="str">
        <x:v>Integração real depende de G1/G4</x:v>
      </x:c>
    </x:row>
    <x:row r="88" ht="42" customHeight="1">
      <x:c r="A88" s="8" t="str">
        <x:v>ZNF-902</x:v>
      </x:c>
      <x:c r="B88" s="8" t="str">
        <x:v>ZNF-EP09</x:v>
      </x:c>
      <x:c r="C88" s="8" t="str">
        <x:v>Story</x:v>
      </x:c>
      <x:c r="D88" s="9" t="str">
        <x:v>Enviar mensagem de NF-e autorizada pelo WhatsApp</x:v>
      </x:c>
      <x:c r="E88" s="8" t="str">
        <x:v>P1</x:v>
      </x:c>
      <x:c r="F88" s="10" t="n">
        <x:v>8</x:v>
      </x:c>
      <x:c r="G88" s="8" t="str">
        <x:v>G3/G4</x:v>
      </x:c>
      <x:c r="H88" s="8" t="str">
        <x:v>BACKLOG</x:v>
      </x:c>
      <x:c r="I88" s="8" t="str">
        <x:v>Não atribuído</x:v>
      </x:c>
      <x:c r="J88" s="8" t="str">
        <x:v>Sprint 5–6</x:v>
      </x:c>
      <x:c r="K88" s="8" t="str">
        <x:v>R3</x:v>
      </x:c>
      <x:c r="L88" s="9" t="str">
        <x:v>G3/G4</x:v>
      </x:c>
      <x:c r="M88" s="9" t="str">
        <x:v>Fluxo concluído pelo usuário e validado no servidor.</x:v>
      </x:c>
      <x:c r="N88" s="9" t="str">
        <x:v>Integração real depende de G3/G4</x:v>
      </x:c>
    </x:row>
    <x:row r="89" ht="42" customHeight="1">
      <x:c r="A89" s="8" t="str">
        <x:v>ZNF-903</x:v>
      </x:c>
      <x:c r="B89" s="8" t="str">
        <x:v>ZNF-EP09</x:v>
      </x:c>
      <x:c r="C89" s="8" t="str">
        <x:v>Task</x:v>
      </x:c>
      <x:c r="D89" s="9" t="str">
        <x:v>Respeitar janela de atendimento, opt-in e templates</x:v>
      </x:c>
      <x:c r="E89" s="8" t="str">
        <x:v>P0</x:v>
      </x:c>
      <x:c r="F89" s="10" t="n">
        <x:v>8</x:v>
      </x:c>
      <x:c r="G89" s="8" t="str">
        <x:v>G3</x:v>
      </x:c>
      <x:c r="H89" s="8" t="str">
        <x:v>BACKLOG</x:v>
      </x:c>
      <x:c r="I89" s="8" t="str">
        <x:v>Não atribuído</x:v>
      </x:c>
      <x:c r="J89" s="8" t="str">
        <x:v>Sprint 5–6</x:v>
      </x:c>
      <x:c r="K89" s="8" t="str">
        <x:v>R3</x:v>
      </x:c>
      <x:c r="L89" s="9" t="str">
        <x:v>G3</x:v>
      </x:c>
      <x:c r="M89" s="9" t="str">
        <x:v>Implementação verificada por teste/evidência e documentação atualizada.</x:v>
      </x:c>
      <x:c r="N89" s="9" t="str">
        <x:v>Integração real depende de G3</x:v>
      </x:c>
    </x:row>
    <x:row r="90" ht="42" customHeight="1">
      <x:c r="A90" s="8" t="str">
        <x:v>ZNF-904</x:v>
      </x:c>
      <x:c r="B90" s="8" t="str">
        <x:v>ZNF-EP09</x:v>
      </x:c>
      <x:c r="C90" s="8" t="str">
        <x:v>Task</x:v>
      </x:c>
      <x:c r="D90" s="9" t="str">
        <x:v>Persistir wamid e estados enviado/entregue/lido/falho</x:v>
      </x:c>
      <x:c r="E90" s="8" t="str">
        <x:v>P1</x:v>
      </x:c>
      <x:c r="F90" s="10" t="n">
        <x:v>8</x:v>
      </x:c>
      <x:c r="G90" s="8" t="str">
        <x:v>G1/G3</x:v>
      </x:c>
      <x:c r="H90" s="8" t="str">
        <x:v>BACKLOG</x:v>
      </x:c>
      <x:c r="I90" s="8" t="str">
        <x:v>Não atribuído</x:v>
      </x:c>
      <x:c r="J90" s="8" t="str">
        <x:v>Sprint 5–6</x:v>
      </x:c>
      <x:c r="K90" s="8" t="str">
        <x:v>R3</x:v>
      </x:c>
      <x:c r="L90" s="9" t="str">
        <x:v>G1/G3</x:v>
      </x:c>
      <x:c r="M90" s="9" t="str">
        <x:v>Implementação verificada por teste/evidência e documentação atualizada.</x:v>
      </x:c>
      <x:c r="N90" s="9" t="str">
        <x:v>Integração real depende de G1/G3</x:v>
      </x:c>
    </x:row>
    <x:row r="91" ht="42" customHeight="1">
      <x:c r="A91" s="8" t="str">
        <x:v>ZNF-905</x:v>
      </x:c>
      <x:c r="B91" s="8" t="str">
        <x:v>ZNF-EP09</x:v>
      </x:c>
      <x:c r="C91" s="8" t="str">
        <x:v>Story</x:v>
      </x:c>
      <x:c r="D91" s="9" t="str">
        <x:v>Reenviar documento sem reemitir a nota</x:v>
      </x:c>
      <x:c r="E91" s="8" t="str">
        <x:v>P1</x:v>
      </x:c>
      <x:c r="F91" s="10" t="n">
        <x:v>3</x:v>
      </x:c>
      <x:c r="G91" s="8" t="str">
        <x:v>G1/G3/G4</x:v>
      </x:c>
      <x:c r="H91" s="8" t="str">
        <x:v>BACKLOG</x:v>
      </x:c>
      <x:c r="I91" s="8" t="str">
        <x:v>Não atribuído</x:v>
      </x:c>
      <x:c r="J91" s="8" t="str">
        <x:v>Sprint 5–6</x:v>
      </x:c>
      <x:c r="K91" s="8" t="str">
        <x:v>R3</x:v>
      </x:c>
      <x:c r="L91" s="9" t="str">
        <x:v>G1/G3/G4</x:v>
      </x:c>
      <x:c r="M91" s="9" t="str">
        <x:v>Fluxo concluído pelo usuário e validado no servidor.</x:v>
      </x:c>
      <x:c r="N91" s="9" t="str">
        <x:v>Integração real depende de G1/G3/G4</x:v>
      </x:c>
    </x:row>
    <x:row r="92" ht="42" customHeight="1">
      <x:c r="A92" s="8" t="str">
        <x:v>ZNF-906</x:v>
      </x:c>
      <x:c r="B92" s="8" t="str">
        <x:v>ZNF-EP09</x:v>
      </x:c>
      <x:c r="C92" s="8" t="str">
        <x:v>Story</x:v>
      </x:c>
      <x:c r="D92" s="9" t="str">
        <x:v>Download seguro pelo painel</x:v>
      </x:c>
      <x:c r="E92" s="8" t="str">
        <x:v>P1</x:v>
      </x:c>
      <x:c r="F92" s="10" t="n">
        <x:v>3</x:v>
      </x:c>
      <x:c r="G92" s="8" t="str">
        <x:v>G1/G4</x:v>
      </x:c>
      <x:c r="H92" s="8" t="str">
        <x:v>BACKLOG</x:v>
      </x:c>
      <x:c r="I92" s="8" t="str">
        <x:v>Não atribuído</x:v>
      </x:c>
      <x:c r="J92" s="8" t="str">
        <x:v>Sprint 5–6</x:v>
      </x:c>
      <x:c r="K92" s="8" t="str">
        <x:v>R3</x:v>
      </x:c>
      <x:c r="L92" s="9" t="str">
        <x:v>G1/G4</x:v>
      </x:c>
      <x:c r="M92" s="9" t="str">
        <x:v>Fluxo concluído pelo usuário e validado no servidor.</x:v>
      </x:c>
      <x:c r="N92" s="9" t="str">
        <x:v>Integração real depende de G1/G4</x:v>
      </x:c>
    </x:row>
    <x:row r="93" ht="42" customHeight="1">
      <x:c r="A93" s="8" t="str">
        <x:v>ZNF-907</x:v>
      </x:c>
      <x:c r="B93" s="8" t="str">
        <x:v>ZNF-EP09</x:v>
      </x:c>
      <x:c r="C93" s="8" t="str">
        <x:v>Task</x:v>
      </x:c>
      <x:c r="D93" s="9" t="str">
        <x:v>Retentativa e alerta para falha de entrega</x:v>
      </x:c>
      <x:c r="E93" s="8" t="str">
        <x:v>P1</x:v>
      </x:c>
      <x:c r="F93" s="10" t="n">
        <x:v>5</x:v>
      </x:c>
      <x:c r="G93" s="8" t="str">
        <x:v>G1/G3</x:v>
      </x:c>
      <x:c r="H93" s="8" t="str">
        <x:v>BACKLOG</x:v>
      </x:c>
      <x:c r="I93" s="8" t="str">
        <x:v>Não atribuído</x:v>
      </x:c>
      <x:c r="J93" s="8" t="str">
        <x:v>Sprint 5–6</x:v>
      </x:c>
      <x:c r="K93" s="8" t="str">
        <x:v>R3</x:v>
      </x:c>
      <x:c r="L93" s="9" t="str">
        <x:v>G1/G3</x:v>
      </x:c>
      <x:c r="M93" s="9" t="str">
        <x:v>Implementação verificada por teste/evidência e documentação atualizada.</x:v>
      </x:c>
      <x:c r="N93" s="9" t="str">
        <x:v>Integração real depende de G1/G3</x:v>
      </x:c>
    </x:row>
    <x:row r="94" ht="42" customHeight="1">
      <x:c r="A94" s="8" t="str">
        <x:v>ZNF-1001</x:v>
      </x:c>
      <x:c r="B94" s="8" t="str">
        <x:v>ZNF-EP10</x:v>
      </x:c>
      <x:c r="C94" s="8" t="str">
        <x:v>Task</x:v>
      </x:c>
      <x:c r="D94" s="9" t="str">
        <x:v>Validação, normalização e limites de entrada</x:v>
      </x:c>
      <x:c r="E94" s="8" t="str">
        <x:v>P0</x:v>
      </x:c>
      <x:c r="F94" s="10" t="n">
        <x:v>5</x:v>
      </x:c>
      <x:c r="G94" s="8" t="str">
        <x:v>G0</x:v>
      </x:c>
      <x:c r="H94" s="8" t="str">
        <x:v>DONE</x:v>
      </x:c>
      <x:c r="I94" s="8" t="str">
        <x:v>Não atribuído</x:v>
      </x:c>
      <x:c r="J94" s="8" t="str">
        <x:v>Concluído</x:v>
      </x:c>
      <x:c r="K94" s="8" t="str">
        <x:v>R0</x:v>
      </x:c>
      <x:c r="L94" s="9" t="str">
        <x:v>G0</x:v>
      </x:c>
      <x:c r="M94" s="9" t="str">
        <x:v>Implementação verificada por teste/evidência e documentação atualizada.</x:v>
      </x:c>
      <x:c r="N94" s="9" t="str">
        <x:v>Sem dependência externa</x:v>
      </x:c>
    </x:row>
    <x:row r="95" ht="42" customHeight="1">
      <x:c r="A95" s="8" t="str">
        <x:v>ZNF-1002</x:v>
      </x:c>
      <x:c r="B95" s="8" t="str">
        <x:v>ZNF-EP10</x:v>
      </x:c>
      <x:c r="C95" s="8" t="str">
        <x:v>Task</x:v>
      </x:c>
      <x:c r="D95" s="9" t="str">
        <x:v>CSP, HSTS, isolamento de origem e anti-clickjacking</x:v>
      </x:c>
      <x:c r="E95" s="8" t="str">
        <x:v>P0</x:v>
      </x:c>
      <x:c r="F95" s="10" t="n">
        <x:v>5</x:v>
      </x:c>
      <x:c r="G95" s="8" t="str">
        <x:v>G0</x:v>
      </x:c>
      <x:c r="H95" s="8" t="str">
        <x:v>DONE</x:v>
      </x:c>
      <x:c r="I95" s="8" t="str">
        <x:v>Não atribuído</x:v>
      </x:c>
      <x:c r="J95" s="8" t="str">
        <x:v>Concluído</x:v>
      </x:c>
      <x:c r="K95" s="8" t="str">
        <x:v>R0</x:v>
      </x:c>
      <x:c r="L95" s="9" t="str">
        <x:v>G0</x:v>
      </x:c>
      <x:c r="M95" s="9" t="str">
        <x:v>Implementação verificada por teste/evidência e documentação atualizada.</x:v>
      </x:c>
      <x:c r="N95" s="9" t="str">
        <x:v>Sem dependência externa</x:v>
      </x:c>
    </x:row>
    <x:row r="96" ht="42" customHeight="1">
      <x:c r="A96" s="8" t="str">
        <x:v>ZNF-1003</x:v>
      </x:c>
      <x:c r="B96" s="8" t="str">
        <x:v>ZNF-EP10</x:v>
      </x:c>
      <x:c r="C96" s="8" t="str">
        <x:v>Task</x:v>
      </x:c>
      <x:c r="D96" s="9" t="str">
        <x:v>SAST, secrets scan, dependências e DAST</x:v>
      </x:c>
      <x:c r="E96" s="8" t="str">
        <x:v>P0</x:v>
      </x:c>
      <x:c r="F96" s="10" t="n">
        <x:v>8</x:v>
      </x:c>
      <x:c r="G96" s="8" t="str">
        <x:v>G0</x:v>
      </x:c>
      <x:c r="H96" s="8" t="str">
        <x:v>DONE</x:v>
      </x:c>
      <x:c r="I96" s="8" t="str">
        <x:v>Não atribuído</x:v>
      </x:c>
      <x:c r="J96" s="8" t="str">
        <x:v>Concluído</x:v>
      </x:c>
      <x:c r="K96" s="8" t="str">
        <x:v>R0</x:v>
      </x:c>
      <x:c r="L96" s="9" t="str">
        <x:v>G0</x:v>
      </x:c>
      <x:c r="M96" s="9" t="str">
        <x:v>Implementação verificada por teste/evidência e documentação atualizada.</x:v>
      </x:c>
      <x:c r="N96" s="9" t="str">
        <x:v>Sem dependência externa</x:v>
      </x:c>
    </x:row>
    <x:row r="97" ht="42" customHeight="1">
      <x:c r="A97" s="8" t="str">
        <x:v>ZNF-1004</x:v>
      </x:c>
      <x:c r="B97" s="8" t="str">
        <x:v>ZNF-EP10</x:v>
      </x:c>
      <x:c r="C97" s="8" t="str">
        <x:v>Task</x:v>
      </x:c>
      <x:c r="D97" s="9" t="str">
        <x:v>Threat model por fluxo e fronteira de confiança</x:v>
      </x:c>
      <x:c r="E97" s="8" t="str">
        <x:v>P0</x:v>
      </x:c>
      <x:c r="F97" s="10" t="n">
        <x:v>8</x:v>
      </x:c>
      <x:c r="G97" s="8" t="str">
        <x:v>G0</x:v>
      </x:c>
      <x:c r="H97" s="8" t="str">
        <x:v>BACKLOG</x:v>
      </x:c>
      <x:c r="I97" s="8" t="str">
        <x:v>Não atribuído</x:v>
      </x:c>
      <x:c r="J97" s="8" t="str">
        <x:v>Backlog</x:v>
      </x:c>
      <x:c r="K97" s="8" t="str">
        <x:v>Transversal</x:v>
      </x:c>
      <x:c r="L97" s="9" t="str">
        <x:v>G0</x:v>
      </x:c>
      <x:c r="M97" s="9" t="str">
        <x:v>Implementação verificada por teste/evidência e documentação atualizada.</x:v>
      </x:c>
      <x:c r="N97" s="9" t="str">
        <x:v>Sem dependência externa</x:v>
      </x:c>
    </x:row>
    <x:row r="98" ht="42" customHeight="1">
      <x:c r="A98" s="8" t="str">
        <x:v>ZNF-1005</x:v>
      </x:c>
      <x:c r="B98" s="8" t="str">
        <x:v>ZNF-EP10</x:v>
      </x:c>
      <x:c r="C98" s="8" t="str">
        <x:v>Task</x:v>
      </x:c>
      <x:c r="D98" s="9" t="str">
        <x:v>Log de auditoria append-only para ações críticas</x:v>
      </x:c>
      <x:c r="E98" s="8" t="str">
        <x:v>P0</x:v>
      </x:c>
      <x:c r="F98" s="10" t="n">
        <x:v>8</x:v>
      </x:c>
      <x:c r="G98" s="8" t="str">
        <x:v>G0/G1</x:v>
      </x:c>
      <x:c r="H98" s="8" t="str">
        <x:v>BACKLOG</x:v>
      </x:c>
      <x:c r="I98" s="8" t="str">
        <x:v>Não atribuído</x:v>
      </x:c>
      <x:c r="J98" s="8" t="str">
        <x:v>Sprint 2</x:v>
      </x:c>
      <x:c r="K98" s="8" t="str">
        <x:v>Transversal</x:v>
      </x:c>
      <x:c r="L98" s="9" t="str">
        <x:v>G0/G1</x:v>
      </x:c>
      <x:c r="M98" s="9" t="str">
        <x:v>Implementação verificada por teste/evidência e documentação atualizada.</x:v>
      </x:c>
      <x:c r="N98" s="9" t="str">
        <x:v>Integração real depende de G0/G1</x:v>
      </x:c>
    </x:row>
    <x:row r="99" ht="42" customHeight="1">
      <x:c r="A99" s="8" t="str">
        <x:v>ZNF-1006</x:v>
      </x:c>
      <x:c r="B99" s="8" t="str">
        <x:v>ZNF-EP10</x:v>
      </x:c>
      <x:c r="C99" s="8" t="str">
        <x:v>Task</x:v>
      </x:c>
      <x:c r="D99" s="9" t="str">
        <x:v>Inventário de dados, finalidade, base legal e operadores</x:v>
      </x:c>
      <x:c r="E99" s="8" t="str">
        <x:v>P0</x:v>
      </x:c>
      <x:c r="F99" s="10" t="n">
        <x:v>8</x:v>
      </x:c>
      <x:c r="G99" s="8" t="str">
        <x:v>G6</x:v>
      </x:c>
      <x:c r="H99" s="8" t="str">
        <x:v>BACKLOG</x:v>
      </x:c>
      <x:c r="I99" s="8" t="str">
        <x:v>Não atribuído</x:v>
      </x:c>
      <x:c r="J99" s="8" t="str">
        <x:v>Backlog</x:v>
      </x:c>
      <x:c r="K99" s="8" t="str">
        <x:v>Transversal</x:v>
      </x:c>
      <x:c r="L99" s="9" t="str">
        <x:v>G6</x:v>
      </x:c>
      <x:c r="M99" s="9" t="str">
        <x:v>Implementação verificada por teste/evidência e documentação atualizada.</x:v>
      </x:c>
      <x:c r="N99" s="9" t="str">
        <x:v>Integração real depende de G6</x:v>
      </x:c>
    </x:row>
    <x:row r="100" ht="42" customHeight="1">
      <x:c r="A100" s="8" t="str">
        <x:v>ZNF-1007</x:v>
      </x:c>
      <x:c r="B100" s="8" t="str">
        <x:v>ZNF-EP10</x:v>
      </x:c>
      <x:c r="C100" s="8" t="str">
        <x:v>Story</x:v>
      </x:c>
      <x:c r="D100" s="9" t="str">
        <x:v>Central de privacidade e solicitações do titular</x:v>
      </x:c>
      <x:c r="E100" s="8" t="str">
        <x:v>P1</x:v>
      </x:c>
      <x:c r="F100" s="10" t="n">
        <x:v>8</x:v>
      </x:c>
      <x:c r="G100" s="8" t="str">
        <x:v>G1/G6</x:v>
      </x:c>
      <x:c r="H100" s="8" t="str">
        <x:v>BACKLOG</x:v>
      </x:c>
      <x:c r="I100" s="8" t="str">
        <x:v>Não atribuído</x:v>
      </x:c>
      <x:c r="J100" s="8" t="str">
        <x:v>Backlog</x:v>
      </x:c>
      <x:c r="K100" s="8" t="str">
        <x:v>Transversal</x:v>
      </x:c>
      <x:c r="L100" s="9" t="str">
        <x:v>G1/G6</x:v>
      </x:c>
      <x:c r="M100" s="9" t="str">
        <x:v>Fluxo concluído pelo usuário e validado no servidor.</x:v>
      </x:c>
      <x:c r="N100" s="9" t="str">
        <x:v>Integração real depende de G1/G6</x:v>
      </x:c>
    </x:row>
    <x:row r="101" ht="42" customHeight="1">
      <x:c r="A101" s="8" t="str">
        <x:v>ZNF-1008</x:v>
      </x:c>
      <x:c r="B101" s="8" t="str">
        <x:v>ZNF-EP10</x:v>
      </x:c>
      <x:c r="C101" s="8" t="str">
        <x:v>Task</x:v>
      </x:c>
      <x:c r="D101" s="9" t="str">
        <x:v>Política e job de retenção/exclusão/anomização</x:v>
      </x:c>
      <x:c r="E101" s="8" t="str">
        <x:v>P0</x:v>
      </x:c>
      <x:c r="F101" s="10" t="n">
        <x:v>8</x:v>
      </x:c>
      <x:c r="G101" s="8" t="str">
        <x:v>G1/G6</x:v>
      </x:c>
      <x:c r="H101" s="8" t="str">
        <x:v>BACKLOG</x:v>
      </x:c>
      <x:c r="I101" s="8" t="str">
        <x:v>Não atribuído</x:v>
      </x:c>
      <x:c r="J101" s="8" t="str">
        <x:v>Backlog</x:v>
      </x:c>
      <x:c r="K101" s="8" t="str">
        <x:v>Transversal</x:v>
      </x:c>
      <x:c r="L101" s="9" t="str">
        <x:v>G1/G6</x:v>
      </x:c>
      <x:c r="M101" s="9" t="str">
        <x:v>Implementação verificada por teste/evidência e documentação atualizada.</x:v>
      </x:c>
      <x:c r="N101" s="9" t="str">
        <x:v>Integração real depende de G1/G6</x:v>
      </x:c>
    </x:row>
    <x:row r="102" ht="42" customHeight="1">
      <x:c r="A102" s="8" t="str">
        <x:v>ZNF-1009</x:v>
      </x:c>
      <x:c r="B102" s="8" t="str">
        <x:v>ZNF-EP10</x:v>
      </x:c>
      <x:c r="C102" s="8" t="str">
        <x:v>Task</x:v>
      </x:c>
      <x:c r="D102" s="9" t="str">
        <x:v>Plano de resposta a incidente e comunicação</x:v>
      </x:c>
      <x:c r="E102" s="8" t="str">
        <x:v>P0</x:v>
      </x:c>
      <x:c r="F102" s="10" t="n">
        <x:v>5</x:v>
      </x:c>
      <x:c r="G102" s="8" t="str">
        <x:v>G6</x:v>
      </x:c>
      <x:c r="H102" s="8" t="str">
        <x:v>BACKLOG</x:v>
      </x:c>
      <x:c r="I102" s="8" t="str">
        <x:v>Não atribuído</x:v>
      </x:c>
      <x:c r="J102" s="8" t="str">
        <x:v>Backlog</x:v>
      </x:c>
      <x:c r="K102" s="8" t="str">
        <x:v>Transversal</x:v>
      </x:c>
      <x:c r="L102" s="9" t="str">
        <x:v>G6</x:v>
      </x:c>
      <x:c r="M102" s="9" t="str">
        <x:v>Implementação verificada por teste/evidência e documentação atualizada.</x:v>
      </x:c>
      <x:c r="N102" s="9" t="str">
        <x:v>Integração real depende de G6</x:v>
      </x:c>
    </x:row>
    <x:row r="103" ht="42" customHeight="1">
      <x:c r="A103" s="8" t="str">
        <x:v>ZNF-1010</x:v>
      </x:c>
      <x:c r="B103" s="8" t="str">
        <x:v>ZNF-EP10</x:v>
      </x:c>
      <x:c r="C103" s="8" t="str">
        <x:v>Task</x:v>
      </x:c>
      <x:c r="D103" s="9" t="str">
        <x:v>Rotação de secrets e matriz de acesso operacional</x:v>
      </x:c>
      <x:c r="E103" s="8" t="str">
        <x:v>P0</x:v>
      </x:c>
      <x:c r="F103" s="10" t="n">
        <x:v>5</x:v>
      </x:c>
      <x:c r="G103" s="8" t="str">
        <x:v>G1–G4</x:v>
      </x:c>
      <x:c r="H103" s="8" t="str">
        <x:v>BACKLOG</x:v>
      </x:c>
      <x:c r="I103" s="8" t="str">
        <x:v>Não atribuído</x:v>
      </x:c>
      <x:c r="J103" s="8" t="str">
        <x:v>Backlog</x:v>
      </x:c>
      <x:c r="K103" s="8" t="str">
        <x:v>Transversal</x:v>
      </x:c>
      <x:c r="L103" s="9" t="str">
        <x:v>G1–G4</x:v>
      </x:c>
      <x:c r="M103" s="9" t="str">
        <x:v>Implementação verificada por teste/evidência e documentação atualizada.</x:v>
      </x:c>
      <x:c r="N103" s="9" t="str">
        <x:v>Integração real depende de G1–G4</x:v>
      </x:c>
    </x:row>
    <x:row r="104" ht="42" customHeight="1">
      <x:c r="A104" s="8" t="str">
        <x:v>ZNF-1011</x:v>
      </x:c>
      <x:c r="B104" s="8" t="str">
        <x:v>ZNF-EP10</x:v>
      </x:c>
      <x:c r="C104" s="8" t="str">
        <x:v>Task</x:v>
      </x:c>
      <x:c r="D104" s="9" t="str">
        <x:v>Backup, restauração testada e RPO/RTO</x:v>
      </x:c>
      <x:c r="E104" s="8" t="str">
        <x:v>P0</x:v>
      </x:c>
      <x:c r="F104" s="10" t="n">
        <x:v>8</x:v>
      </x:c>
      <x:c r="G104" s="8" t="str">
        <x:v>G1</x:v>
      </x:c>
      <x:c r="H104" s="8" t="str">
        <x:v>BACKLOG</x:v>
      </x:c>
      <x:c r="I104" s="8" t="str">
        <x:v>Não atribuído</x:v>
      </x:c>
      <x:c r="J104" s="8" t="str">
        <x:v>Backlog</x:v>
      </x:c>
      <x:c r="K104" s="8" t="str">
        <x:v>Transversal</x:v>
      </x:c>
      <x:c r="L104" s="9" t="str">
        <x:v>G1</x:v>
      </x:c>
      <x:c r="M104" s="9" t="str">
        <x:v>Implementação verificada por teste/evidência e documentação atualizada.</x:v>
      </x:c>
      <x:c r="N104" s="9" t="str">
        <x:v>Integração real depende de G1</x:v>
      </x:c>
    </x:row>
    <x:row r="105" ht="42" customHeight="1">
      <x:c r="A105" s="8" t="str">
        <x:v>ZNF-1012</x:v>
      </x:c>
      <x:c r="B105" s="8" t="str">
        <x:v>ZNF-EP10</x:v>
      </x:c>
      <x:c r="C105" s="8" t="str">
        <x:v>Task</x:v>
      </x:c>
      <x:c r="D105" s="9" t="str">
        <x:v>Revisão jurídica de privacidade, termos e contratos</x:v>
      </x:c>
      <x:c r="E105" s="8" t="str">
        <x:v>P0</x:v>
      </x:c>
      <x:c r="F105" s="10" t="n">
        <x:v>5</x:v>
      </x:c>
      <x:c r="G105" s="8" t="str">
        <x:v>G6</x:v>
      </x:c>
      <x:c r="H105" s="8" t="str">
        <x:v>BACKLOG</x:v>
      </x:c>
      <x:c r="I105" s="8" t="str">
        <x:v>Não atribuído</x:v>
      </x:c>
      <x:c r="J105" s="8" t="str">
        <x:v>Backlog</x:v>
      </x:c>
      <x:c r="K105" s="8" t="str">
        <x:v>Transversal</x:v>
      </x:c>
      <x:c r="L105" s="9" t="str">
        <x:v>G6</x:v>
      </x:c>
      <x:c r="M105" s="9" t="str">
        <x:v>Implementação verificada por teste/evidência e documentação atualizada.</x:v>
      </x:c>
      <x:c r="N105" s="9" t="str">
        <x:v>Integração real depende de G6</x:v>
      </x:c>
    </x:row>
    <x:row r="106" ht="42" customHeight="1">
      <x:c r="A106" s="8" t="str">
        <x:v>ZNF-1013</x:v>
      </x:c>
      <x:c r="B106" s="8" t="str">
        <x:v>ZNF-EP10</x:v>
      </x:c>
      <x:c r="C106" s="8" t="str">
        <x:v>Task</x:v>
      </x:c>
      <x:c r="D106" s="9" t="str">
        <x:v>RIPD quando avaliação de risco indicar necessidade</x:v>
      </x:c>
      <x:c r="E106" s="8" t="str">
        <x:v>P1</x:v>
      </x:c>
      <x:c r="F106" s="10" t="n">
        <x:v>5</x:v>
      </x:c>
      <x:c r="G106" s="8" t="str">
        <x:v>G6</x:v>
      </x:c>
      <x:c r="H106" s="8" t="str">
        <x:v>BACKLOG</x:v>
      </x:c>
      <x:c r="I106" s="8" t="str">
        <x:v>Não atribuído</x:v>
      </x:c>
      <x:c r="J106" s="8" t="str">
        <x:v>Backlog</x:v>
      </x:c>
      <x:c r="K106" s="8" t="str">
        <x:v>Transversal</x:v>
      </x:c>
      <x:c r="L106" s="9" t="str">
        <x:v>G6</x:v>
      </x:c>
      <x:c r="M106" s="9" t="str">
        <x:v>Implementação verificada por teste/evidência e documentação atualizada.</x:v>
      </x:c>
      <x:c r="N106" s="9" t="str">
        <x:v>Integração real depende de G6</x:v>
      </x:c>
    </x:row>
    <x:row r="107" ht="42" customHeight="1">
      <x:c r="A107" s="8" t="str">
        <x:v>ZNF-1101</x:v>
      </x:c>
      <x:c r="B107" s="8" t="str">
        <x:v>ZNF-EP11</x:v>
      </x:c>
      <x:c r="C107" s="8" t="str">
        <x:v>Task</x:v>
      </x:c>
      <x:c r="D107" s="9" t="str">
        <x:v>Logging estruturado sem conteúdo sensível</x:v>
      </x:c>
      <x:c r="E107" s="8" t="str">
        <x:v>P0</x:v>
      </x:c>
      <x:c r="F107" s="10" t="n">
        <x:v>5</x:v>
      </x:c>
      <x:c r="G107" s="8" t="str">
        <x:v>G0</x:v>
      </x:c>
      <x:c r="H107" s="8" t="str">
        <x:v>BACKLOG</x:v>
      </x:c>
      <x:c r="I107" s="8" t="str">
        <x:v>Não atribuído</x:v>
      </x:c>
      <x:c r="J107" s="8" t="str">
        <x:v>Sprint 2</x:v>
      </x:c>
      <x:c r="K107" s="8" t="str">
        <x:v>Transversal</x:v>
      </x:c>
      <x:c r="L107" s="9" t="str">
        <x:v>G0</x:v>
      </x:c>
      <x:c r="M107" s="9" t="str">
        <x:v>Implementação verificada por teste/evidência e documentação atualizada.</x:v>
      </x:c>
      <x:c r="N107" s="9" t="str">
        <x:v>Sem dependência externa</x:v>
      </x:c>
    </x:row>
    <x:row r="108" ht="42" customHeight="1">
      <x:c r="A108" s="8" t="str">
        <x:v>ZNF-1102</x:v>
      </x:c>
      <x:c r="B108" s="8" t="str">
        <x:v>ZNF-EP11</x:v>
      </x:c>
      <x:c r="C108" s="8" t="str">
        <x:v>Task</x:v>
      </x:c>
      <x:c r="D108" s="9" t="str">
        <x:v>Correlation ID da mensagem até a NF-e</x:v>
      </x:c>
      <x:c r="E108" s="8" t="str">
        <x:v>P1</x:v>
      </x:c>
      <x:c r="F108" s="10" t="n">
        <x:v>5</x:v>
      </x:c>
      <x:c r="G108" s="8" t="str">
        <x:v>G0/G1</x:v>
      </x:c>
      <x:c r="H108" s="8" t="str">
        <x:v>BACKLOG</x:v>
      </x:c>
      <x:c r="I108" s="8" t="str">
        <x:v>Não atribuído</x:v>
      </x:c>
      <x:c r="J108" s="8" t="str">
        <x:v>Sprint 2</x:v>
      </x:c>
      <x:c r="K108" s="8" t="str">
        <x:v>Transversal</x:v>
      </x:c>
      <x:c r="L108" s="9" t="str">
        <x:v>G0/G1</x:v>
      </x:c>
      <x:c r="M108" s="9" t="str">
        <x:v>Implementação verificada por teste/evidência e documentação atualizada.</x:v>
      </x:c>
      <x:c r="N108" s="9" t="str">
        <x:v>Integração real depende de G0/G1</x:v>
      </x:c>
    </x:row>
    <x:row r="109" ht="42" customHeight="1">
      <x:c r="A109" s="8" t="str">
        <x:v>ZNF-1103</x:v>
      </x:c>
      <x:c r="B109" s="8" t="str">
        <x:v>ZNF-EP11</x:v>
      </x:c>
      <x:c r="C109" s="8" t="str">
        <x:v>Task</x:v>
      </x:c>
      <x:c r="D109" s="9" t="str">
        <x:v>Métricas de webhook, Gemini, fila, pedidos e Focus</x:v>
      </x:c>
      <x:c r="E109" s="8" t="str">
        <x:v>P1</x:v>
      </x:c>
      <x:c r="F109" s="10" t="n">
        <x:v>8</x:v>
      </x:c>
      <x:c r="G109" s="8" t="str">
        <x:v>G1–G4</x:v>
      </x:c>
      <x:c r="H109" s="8" t="str">
        <x:v>BACKLOG</x:v>
      </x:c>
      <x:c r="I109" s="8" t="str">
        <x:v>Não atribuído</x:v>
      </x:c>
      <x:c r="J109" s="8" t="str">
        <x:v>Sprint 2</x:v>
      </x:c>
      <x:c r="K109" s="8" t="str">
        <x:v>Transversal</x:v>
      </x:c>
      <x:c r="L109" s="9" t="str">
        <x:v>G1–G4</x:v>
      </x:c>
      <x:c r="M109" s="9" t="str">
        <x:v>Implementação verificada por teste/evidência e documentação atualizada.</x:v>
      </x:c>
      <x:c r="N109" s="9" t="str">
        <x:v>Integração real depende de G1–G4</x:v>
      </x:c>
    </x:row>
    <x:row r="110" ht="42" customHeight="1">
      <x:c r="A110" s="8" t="str">
        <x:v>ZNF-1104</x:v>
      </x:c>
      <x:c r="B110" s="8" t="str">
        <x:v>ZNF-EP11</x:v>
      </x:c>
      <x:c r="C110" s="8" t="str">
        <x:v>Task</x:v>
      </x:c>
      <x:c r="D110" s="9" t="str">
        <x:v>Health checks por dependência sem expor configuração</x:v>
      </x:c>
      <x:c r="E110" s="8" t="str">
        <x:v>P1</x:v>
      </x:c>
      <x:c r="F110" s="10" t="n">
        <x:v>5</x:v>
      </x:c>
      <x:c r="G110" s="8" t="str">
        <x:v>G0</x:v>
      </x:c>
      <x:c r="H110" s="8" t="str">
        <x:v>BACKLOG</x:v>
      </x:c>
      <x:c r="I110" s="8" t="str">
        <x:v>Não atribuído</x:v>
      </x:c>
      <x:c r="J110" s="8" t="str">
        <x:v>Sprint 2</x:v>
      </x:c>
      <x:c r="K110" s="8" t="str">
        <x:v>Transversal</x:v>
      </x:c>
      <x:c r="L110" s="9" t="str">
        <x:v>G0</x:v>
      </x:c>
      <x:c r="M110" s="9" t="str">
        <x:v>Implementação verificada por teste/evidência e documentação atualizada.</x:v>
      </x:c>
      <x:c r="N110" s="9" t="str">
        <x:v>Sem dependência externa</x:v>
      </x:c>
    </x:row>
    <x:row r="111" ht="42" customHeight="1">
      <x:c r="A111" s="8" t="str">
        <x:v>ZNF-1105</x:v>
      </x:c>
      <x:c r="B111" s="8" t="str">
        <x:v>ZNF-EP11</x:v>
      </x:c>
      <x:c r="C111" s="8" t="str">
        <x:v>Task</x:v>
      </x:c>
      <x:c r="D111" s="9" t="str">
        <x:v>Alertas para fila parada, falhas repetidas e webhook inativo</x:v>
      </x:c>
      <x:c r="E111" s="8" t="str">
        <x:v>P0</x:v>
      </x:c>
      <x:c r="F111" s="10" t="n">
        <x:v>8</x:v>
      </x:c>
      <x:c r="G111" s="8" t="str">
        <x:v>G1–G4</x:v>
      </x:c>
      <x:c r="H111" s="8" t="str">
        <x:v>BACKLOG</x:v>
      </x:c>
      <x:c r="I111" s="8" t="str">
        <x:v>Não atribuído</x:v>
      </x:c>
      <x:c r="J111" s="8" t="str">
        <x:v>Backlog</x:v>
      </x:c>
      <x:c r="K111" s="8" t="str">
        <x:v>Transversal</x:v>
      </x:c>
      <x:c r="L111" s="9" t="str">
        <x:v>G1–G4</x:v>
      </x:c>
      <x:c r="M111" s="9" t="str">
        <x:v>Implementação verificada por teste/evidência e documentação atualizada.</x:v>
      </x:c>
      <x:c r="N111" s="9" t="str">
        <x:v>Integração real depende de G1–G4</x:v>
      </x:c>
    </x:row>
    <x:row r="112" ht="42" customHeight="1">
      <x:c r="A112" s="8" t="str">
        <x:v>ZNF-1106</x:v>
      </x:c>
      <x:c r="B112" s="8" t="str">
        <x:v>ZNF-EP11</x:v>
      </x:c>
      <x:c r="C112" s="8" t="str">
        <x:v>Story</x:v>
      </x:c>
      <x:c r="D112" s="9" t="str">
        <x:v>Painel técnico de reprocessamento e dead-letter</x:v>
      </x:c>
      <x:c r="E112" s="8" t="str">
        <x:v>P1</x:v>
      </x:c>
      <x:c r="F112" s="10" t="n">
        <x:v>8</x:v>
      </x:c>
      <x:c r="G112" s="8" t="str">
        <x:v>G1</x:v>
      </x:c>
      <x:c r="H112" s="8" t="str">
        <x:v>BACKLOG</x:v>
      </x:c>
      <x:c r="I112" s="8" t="str">
        <x:v>Não atribuído</x:v>
      </x:c>
      <x:c r="J112" s="8" t="str">
        <x:v>Backlog</x:v>
      </x:c>
      <x:c r="K112" s="8" t="str">
        <x:v>Transversal</x:v>
      </x:c>
      <x:c r="L112" s="9" t="str">
        <x:v>G1</x:v>
      </x:c>
      <x:c r="M112" s="9" t="str">
        <x:v>Fluxo concluído pelo usuário e validado no servidor.</x:v>
      </x:c>
      <x:c r="N112" s="9" t="str">
        <x:v>Integração real depende de G1</x:v>
      </x:c>
    </x:row>
    <x:row r="113" ht="42" customHeight="1">
      <x:c r="A113" s="8" t="str">
        <x:v>ZNF-1107</x:v>
      </x:c>
      <x:c r="B113" s="8" t="str">
        <x:v>ZNF-EP11</x:v>
      </x:c>
      <x:c r="C113" s="8" t="str">
        <x:v>Task</x:v>
      </x:c>
      <x:c r="D113" s="9" t="str">
        <x:v>Runbooks de incidentes e indisponibilidade de provedor</x:v>
      </x:c>
      <x:c r="E113" s="8" t="str">
        <x:v>P1</x:v>
      </x:c>
      <x:c r="F113" s="10" t="n">
        <x:v>5</x:v>
      </x:c>
      <x:c r="G113" s="8" t="str">
        <x:v>G0</x:v>
      </x:c>
      <x:c r="H113" s="8" t="str">
        <x:v>BACKLOG</x:v>
      </x:c>
      <x:c r="I113" s="8" t="str">
        <x:v>Não atribuído</x:v>
      </x:c>
      <x:c r="J113" s="8" t="str">
        <x:v>Backlog</x:v>
      </x:c>
      <x:c r="K113" s="8" t="str">
        <x:v>Transversal</x:v>
      </x:c>
      <x:c r="L113" s="9" t="str">
        <x:v>G0</x:v>
      </x:c>
      <x:c r="M113" s="9" t="str">
        <x:v>Implementação verificada por teste/evidência e documentação atualizada.</x:v>
      </x:c>
      <x:c r="N113" s="9" t="str">
        <x:v>Sem dependência externa</x:v>
      </x:c>
    </x:row>
    <x:row r="114" ht="42" customHeight="1">
      <x:c r="A114" s="8" t="str">
        <x:v>ZNF-1108</x:v>
      </x:c>
      <x:c r="B114" s="8" t="str">
        <x:v>ZNF-EP11</x:v>
      </x:c>
      <x:c r="C114" s="8" t="str">
        <x:v>Task</x:v>
      </x:c>
      <x:c r="D114" s="9" t="str">
        <x:v>SLO inicial e orçamento de erro</x:v>
      </x:c>
      <x:c r="E114" s="8" t="str">
        <x:v>P2</x:v>
      </x:c>
      <x:c r="F114" s="10" t="n">
        <x:v>3</x:v>
      </x:c>
      <x:c r="G114" s="8" t="str">
        <x:v>G1–G4</x:v>
      </x:c>
      <x:c r="H114" s="8" t="str">
        <x:v>BACKLOG</x:v>
      </x:c>
      <x:c r="I114" s="8" t="str">
        <x:v>Não atribuído</x:v>
      </x:c>
      <x:c r="J114" s="8" t="str">
        <x:v>Backlog</x:v>
      </x:c>
      <x:c r="K114" s="8" t="str">
        <x:v>Transversal</x:v>
      </x:c>
      <x:c r="L114" s="9" t="str">
        <x:v>G1–G4</x:v>
      </x:c>
      <x:c r="M114" s="9" t="str">
        <x:v>Implementação verificada por teste/evidência e documentação atualizada.</x:v>
      </x:c>
      <x:c r="N114" s="9" t="str">
        <x:v>Integração real depende de G1–G4</x:v>
      </x:c>
    </x:row>
    <x:row r="115" ht="42" customHeight="1">
      <x:c r="A115" s="8" t="str">
        <x:v>ZNF-1201</x:v>
      </x:c>
      <x:c r="B115" s="8" t="str">
        <x:v>ZNF-EP12</x:v>
      </x:c>
      <x:c r="C115" s="8" t="str">
        <x:v>Task</x:v>
      </x:c>
      <x:c r="D115" s="9" t="str">
        <x:v>Unit tests para domínio, schemas, totais e estados</x:v>
      </x:c>
      <x:c r="E115" s="8" t="str">
        <x:v>P0</x:v>
      </x:c>
      <x:c r="F115" s="10" t="n">
        <x:v>8</x:v>
      </x:c>
      <x:c r="G115" s="8" t="str">
        <x:v>G0</x:v>
      </x:c>
      <x:c r="H115" s="8" t="str">
        <x:v>BACKLOG</x:v>
      </x:c>
      <x:c r="I115" s="8" t="str">
        <x:v>Não atribuído</x:v>
      </x:c>
      <x:c r="J115" s="8" t="str">
        <x:v>Sprint 1</x:v>
      </x:c>
      <x:c r="K115" s="8" t="str">
        <x:v>Transversal</x:v>
      </x:c>
      <x:c r="L115" s="9" t="str">
        <x:v>G0</x:v>
      </x:c>
      <x:c r="M115" s="9" t="str">
        <x:v>Implementação verificada por teste/evidência e documentação atualizada.</x:v>
      </x:c>
      <x:c r="N115" s="9" t="str">
        <x:v>Sem dependência externa</x:v>
      </x:c>
    </x:row>
    <x:row r="116" ht="42" customHeight="1">
      <x:c r="A116" s="8" t="str">
        <x:v>ZNF-1202</x:v>
      </x:c>
      <x:c r="B116" s="8" t="str">
        <x:v>ZNF-EP12</x:v>
      </x:c>
      <x:c r="C116" s="8" t="str">
        <x:v>Task</x:v>
      </x:c>
      <x:c r="D116" s="9" t="str">
        <x:v>Fixtures de webhooks Meta e Focus sem dados reais</x:v>
      </x:c>
      <x:c r="E116" s="8" t="str">
        <x:v>P0</x:v>
      </x:c>
      <x:c r="F116" s="10" t="n">
        <x:v>5</x:v>
      </x:c>
      <x:c r="G116" s="8" t="str">
        <x:v>G0</x:v>
      </x:c>
      <x:c r="H116" s="8" t="str">
        <x:v>BACKLOG</x:v>
      </x:c>
      <x:c r="I116" s="8" t="str">
        <x:v>Não atribuído</x:v>
      </x:c>
      <x:c r="J116" s="8" t="str">
        <x:v>Sprint 1</x:v>
      </x:c>
      <x:c r="K116" s="8" t="str">
        <x:v>Transversal</x:v>
      </x:c>
      <x:c r="L116" s="9" t="str">
        <x:v>G0</x:v>
      </x:c>
      <x:c r="M116" s="9" t="str">
        <x:v>Implementação verificada por teste/evidência e documentação atualizada.</x:v>
      </x:c>
      <x:c r="N116" s="9" t="str">
        <x:v>Sem dependência externa</x:v>
      </x:c>
    </x:row>
    <x:row r="117" ht="42" customHeight="1">
      <x:c r="A117" s="8" t="str">
        <x:v>ZNF-1203</x:v>
      </x:c>
      <x:c r="B117" s="8" t="str">
        <x:v>ZNF-EP12</x:v>
      </x:c>
      <x:c r="C117" s="8" t="str">
        <x:v>Task</x:v>
      </x:c>
      <x:c r="D117" s="9" t="str">
        <x:v>Contract tests dos adaptadores Gemini/Meta/Focus</x:v>
      </x:c>
      <x:c r="E117" s="8" t="str">
        <x:v>P0</x:v>
      </x:c>
      <x:c r="F117" s="10" t="n">
        <x:v>8</x:v>
      </x:c>
      <x:c r="G117" s="8" t="str">
        <x:v>G0</x:v>
      </x:c>
      <x:c r="H117" s="8" t="str">
        <x:v>BACKLOG</x:v>
      </x:c>
      <x:c r="I117" s="8" t="str">
        <x:v>Não atribuído</x:v>
      </x:c>
      <x:c r="J117" s="8" t="str">
        <x:v>Backlog</x:v>
      </x:c>
      <x:c r="K117" s="8" t="str">
        <x:v>Transversal</x:v>
      </x:c>
      <x:c r="L117" s="9" t="str">
        <x:v>G0</x:v>
      </x:c>
      <x:c r="M117" s="9" t="str">
        <x:v>Implementação verificada por teste/evidência e documentação atualizada.</x:v>
      </x:c>
      <x:c r="N117" s="9" t="str">
        <x:v>Sem dependência externa</x:v>
      </x:c>
    </x:row>
    <x:row r="118" ht="42" customHeight="1">
      <x:c r="A118" s="8" t="str">
        <x:v>ZNF-1204</x:v>
      </x:c>
      <x:c r="B118" s="8" t="str">
        <x:v>ZNF-EP12</x:v>
      </x:c>
      <x:c r="C118" s="8" t="str">
        <x:v>Task</x:v>
      </x:c>
      <x:c r="D118" s="9" t="str">
        <x:v>Testes de integração com Supabase local/branch</x:v>
      </x:c>
      <x:c r="E118" s="8" t="str">
        <x:v>P0</x:v>
      </x:c>
      <x:c r="F118" s="10" t="n">
        <x:v>8</x:v>
      </x:c>
      <x:c r="G118" s="8" t="str">
        <x:v>G1</x:v>
      </x:c>
      <x:c r="H118" s="8" t="str">
        <x:v>BACKLOG</x:v>
      </x:c>
      <x:c r="I118" s="8" t="str">
        <x:v>Não atribuído</x:v>
      </x:c>
      <x:c r="J118" s="8" t="str">
        <x:v>Backlog</x:v>
      </x:c>
      <x:c r="K118" s="8" t="str">
        <x:v>Transversal</x:v>
      </x:c>
      <x:c r="L118" s="9" t="str">
        <x:v>G1</x:v>
      </x:c>
      <x:c r="M118" s="9" t="str">
        <x:v>Implementação verificada por teste/evidência e documentação atualizada.</x:v>
      </x:c>
      <x:c r="N118" s="9" t="str">
        <x:v>Integração real depende de G1</x:v>
      </x:c>
    </x:row>
    <x:row r="119" ht="42" customHeight="1">
      <x:c r="A119" s="8" t="str">
        <x:v>ZNF-1205</x:v>
      </x:c>
      <x:c r="B119" s="8" t="str">
        <x:v>ZNF-EP12</x:v>
      </x:c>
      <x:c r="C119" s="8" t="str">
        <x:v>Task</x:v>
      </x:c>
      <x:c r="D119" s="9" t="str">
        <x:v>E2E do login até conferência com mocks</x:v>
      </x:c>
      <x:c r="E119" s="8" t="str">
        <x:v>P1</x:v>
      </x:c>
      <x:c r="F119" s="10" t="n">
        <x:v>8</x:v>
      </x:c>
      <x:c r="G119" s="8" t="str">
        <x:v>G0</x:v>
      </x:c>
      <x:c r="H119" s="8" t="str">
        <x:v>BACKLOG</x:v>
      </x:c>
      <x:c r="I119" s="8" t="str">
        <x:v>Não atribuído</x:v>
      </x:c>
      <x:c r="J119" s="8" t="str">
        <x:v>Sprint 1</x:v>
      </x:c>
      <x:c r="K119" s="8" t="str">
        <x:v>Transversal</x:v>
      </x:c>
      <x:c r="L119" s="9" t="str">
        <x:v>G0</x:v>
      </x:c>
      <x:c r="M119" s="9" t="str">
        <x:v>Implementação verificada por teste/evidência e documentação atualizada.</x:v>
      </x:c>
      <x:c r="N119" s="9" t="str">
        <x:v>Sem dependência externa</x:v>
      </x:c>
    </x:row>
    <x:row r="120" ht="42" customHeight="1">
      <x:c r="A120" s="8" t="str">
        <x:v>ZNF-1206</x:v>
      </x:c>
      <x:c r="B120" s="8" t="str">
        <x:v>ZNF-EP12</x:v>
      </x:c>
      <x:c r="C120" s="8" t="str">
        <x:v>Task</x:v>
      </x:c>
      <x:c r="D120" s="9" t="str">
        <x:v>E2E homologação WhatsApp → NF-e → documento</x:v>
      </x:c>
      <x:c r="E120" s="8" t="str">
        <x:v>P0</x:v>
      </x:c>
      <x:c r="F120" s="10" t="n">
        <x:v>13</x:v>
      </x:c>
      <x:c r="G120" s="8" t="str">
        <x:v>G1–G5</x:v>
      </x:c>
      <x:c r="H120" s="8" t="str">
        <x:v>BACKLOG</x:v>
      </x:c>
      <x:c r="I120" s="8" t="str">
        <x:v>Não atribuído</x:v>
      </x:c>
      <x:c r="J120" s="8" t="str">
        <x:v>Backlog</x:v>
      </x:c>
      <x:c r="K120" s="8" t="str">
        <x:v>Transversal</x:v>
      </x:c>
      <x:c r="L120" s="9" t="str">
        <x:v>G1–G5</x:v>
      </x:c>
      <x:c r="M120" s="9" t="str">
        <x:v>Implementação verificada por teste/evidência e documentação atualizada.</x:v>
      </x:c>
      <x:c r="N120" s="9" t="str">
        <x:v>Integração real depende de G1–G5</x:v>
      </x:c>
    </x:row>
    <x:row r="121" ht="42" customHeight="1">
      <x:c r="A121" s="8" t="str">
        <x:v>ZNF-1207</x:v>
      </x:c>
      <x:c r="B121" s="8" t="str">
        <x:v>ZNF-EP12</x:v>
      </x:c>
      <x:c r="C121" s="8" t="str">
        <x:v>Task</x:v>
      </x:c>
      <x:c r="D121" s="9" t="str">
        <x:v>Testes de concorrência, duplicidade e retentativa</x:v>
      </x:c>
      <x:c r="E121" s="8" t="str">
        <x:v>P0</x:v>
      </x:c>
      <x:c r="F121" s="10" t="n">
        <x:v>8</x:v>
      </x:c>
      <x:c r="G121" s="8" t="str">
        <x:v>G1</x:v>
      </x:c>
      <x:c r="H121" s="8" t="str">
        <x:v>BACKLOG</x:v>
      </x:c>
      <x:c r="I121" s="8" t="str">
        <x:v>Não atribuído</x:v>
      </x:c>
      <x:c r="J121" s="8" t="str">
        <x:v>Backlog</x:v>
      </x:c>
      <x:c r="K121" s="8" t="str">
        <x:v>Transversal</x:v>
      </x:c>
      <x:c r="L121" s="9" t="str">
        <x:v>G1</x:v>
      </x:c>
      <x:c r="M121" s="9" t="str">
        <x:v>Implementação verificada por teste/evidência e documentação atualizada.</x:v>
      </x:c>
      <x:c r="N121" s="9" t="str">
        <x:v>Integração real depende de G1</x:v>
      </x:c>
    </x:row>
    <x:row r="122" ht="42" customHeight="1">
      <x:c r="A122" s="8" t="str">
        <x:v>ZNF-1208</x:v>
      </x:c>
      <x:c r="B122" s="8" t="str">
        <x:v>ZNF-EP12</x:v>
      </x:c>
      <x:c r="C122" s="8" t="str">
        <x:v>Task</x:v>
      </x:c>
      <x:c r="D122" s="9" t="str">
        <x:v>Acessibilidade teclado/leitor e responsividade</x:v>
      </x:c>
      <x:c r="E122" s="8" t="str">
        <x:v>P1</x:v>
      </x:c>
      <x:c r="F122" s="10" t="n">
        <x:v>5</x:v>
      </x:c>
      <x:c r="G122" s="8" t="str">
        <x:v>G0</x:v>
      </x:c>
      <x:c r="H122" s="8" t="str">
        <x:v>BACKLOG</x:v>
      </x:c>
      <x:c r="I122" s="8" t="str">
        <x:v>Não atribuído</x:v>
      </x:c>
      <x:c r="J122" s="8" t="str">
        <x:v>Backlog</x:v>
      </x:c>
      <x:c r="K122" s="8" t="str">
        <x:v>Transversal</x:v>
      </x:c>
      <x:c r="L122" s="9" t="str">
        <x:v>G0</x:v>
      </x:c>
      <x:c r="M122" s="9" t="str">
        <x:v>Implementação verificada por teste/evidência e documentação atualizada.</x:v>
      </x:c>
      <x:c r="N122" s="9" t="str">
        <x:v>Sem dependência externa</x:v>
      </x:c>
    </x:row>
    <x:row r="123" ht="42" customHeight="1">
      <x:c r="A123" s="8" t="str">
        <x:v>ZNF-1209</x:v>
      </x:c>
      <x:c r="B123" s="8" t="str">
        <x:v>ZNF-EP12</x:v>
      </x:c>
      <x:c r="C123" s="8" t="str">
        <x:v>Task</x:v>
      </x:c>
      <x:c r="D123" s="9" t="str">
        <x:v>Performance com catálogo e pedidos representativos</x:v>
      </x:c>
      <x:c r="E123" s="8" t="str">
        <x:v>P2</x:v>
      </x:c>
      <x:c r="F123" s="10" t="n">
        <x:v>5</x:v>
      </x:c>
      <x:c r="G123" s="8" t="str">
        <x:v>G1</x:v>
      </x:c>
      <x:c r="H123" s="8" t="str">
        <x:v>BACKLOG</x:v>
      </x:c>
      <x:c r="I123" s="8" t="str">
        <x:v>Não atribuído</x:v>
      </x:c>
      <x:c r="J123" s="8" t="str">
        <x:v>Backlog</x:v>
      </x:c>
      <x:c r="K123" s="8" t="str">
        <x:v>Transversal</x:v>
      </x:c>
      <x:c r="L123" s="9" t="str">
        <x:v>G1</x:v>
      </x:c>
      <x:c r="M123" s="9" t="str">
        <x:v>Implementação verificada por teste/evidência e documentação atualizada.</x:v>
      </x:c>
      <x:c r="N123" s="9" t="str">
        <x:v>Integração real depende de G1</x:v>
      </x:c>
    </x:row>
    <x:row r="124" ht="42" customHeight="1">
      <x:c r="A124" s="8" t="str">
        <x:v>ZNF-1210</x:v>
      </x:c>
      <x:c r="B124" s="8" t="str">
        <x:v>ZNF-EP12</x:v>
      </x:c>
      <x:c r="C124" s="8" t="str">
        <x:v>Task</x:v>
      </x:c>
      <x:c r="D124" s="9" t="str">
        <x:v>Checklist de release e rollback</x:v>
      </x:c>
      <x:c r="E124" s="8" t="str">
        <x:v>P0</x:v>
      </x:c>
      <x:c r="F124" s="10" t="n">
        <x:v>5</x:v>
      </x:c>
      <x:c r="G124" s="8" t="str">
        <x:v>G0</x:v>
      </x:c>
      <x:c r="H124" s="8" t="str">
        <x:v>BACKLOG</x:v>
      </x:c>
      <x:c r="I124" s="8" t="str">
        <x:v>Não atribuído</x:v>
      </x:c>
      <x:c r="J124" s="8" t="str">
        <x:v>Backlog</x:v>
      </x:c>
      <x:c r="K124" s="8" t="str">
        <x:v>Transversal</x:v>
      </x:c>
      <x:c r="L124" s="9" t="str">
        <x:v>G0</x:v>
      </x:c>
      <x:c r="M124" s="9" t="str">
        <x:v>Implementação verificada por teste/evidência e documentação atualizada.</x:v>
      </x:c>
      <x:c r="N124" s="9" t="str">
        <x:v>Sem dependência externa</x:v>
      </x:c>
    </x:row>
    <x:row r="125" ht="42" customHeight="1">
      <x:c r="A125" s="8" t="str">
        <x:v>ZNF-1301</x:v>
      </x:c>
      <x:c r="B125" s="8" t="str">
        <x:v>ZNF-EP13</x:v>
      </x:c>
      <x:c r="C125" s="8" t="str">
        <x:v>Task</x:v>
      </x:c>
      <x:c r="D125" s="9" t="str">
        <x:v>Definir nicho e perfil de cliente ideal</x:v>
      </x:c>
      <x:c r="E125" s="8" t="str">
        <x:v>P1</x:v>
      </x:c>
      <x:c r="F125" s="10" t="n">
        <x:v>3</x:v>
      </x:c>
      <x:c r="G125" s="8" t="str">
        <x:v>G0</x:v>
      </x:c>
      <x:c r="H125" s="8" t="str">
        <x:v>BACKLOG</x:v>
      </x:c>
      <x:c r="I125" s="8" t="str">
        <x:v>Não atribuído</x:v>
      </x:c>
      <x:c r="J125" s="8" t="str">
        <x:v>Sprint 7–8</x:v>
      </x:c>
      <x:c r="K125" s="8" t="str">
        <x:v>R4</x:v>
      </x:c>
      <x:c r="L125" s="9" t="str">
        <x:v>G0</x:v>
      </x:c>
      <x:c r="M125" s="9" t="str">
        <x:v>Implementação verificada por teste/evidência e documentação atualizada.</x:v>
      </x:c>
      <x:c r="N125" s="9" t="str">
        <x:v>Sem dependência externa</x:v>
      </x:c>
    </x:row>
    <x:row r="126" ht="42" customHeight="1">
      <x:c r="A126" s="8" t="str">
        <x:v>ZNF-1302</x:v>
      </x:c>
      <x:c r="B126" s="8" t="str">
        <x:v>ZNF-EP13</x:v>
      </x:c>
      <x:c r="C126" s="8" t="str">
        <x:v>Task</x:v>
      </x:c>
      <x:c r="D126" s="9" t="str">
        <x:v>Recrutar 2 clientes design partners</x:v>
      </x:c>
      <x:c r="E126" s="8" t="str">
        <x:v>P1</x:v>
      </x:c>
      <x:c r="F126" s="10" t="n">
        <x:v>5</x:v>
      </x:c>
      <x:c r="G126" s="8" t="str">
        <x:v>G6</x:v>
      </x:c>
      <x:c r="H126" s="8" t="str">
        <x:v>BACKLOG</x:v>
      </x:c>
      <x:c r="I126" s="8" t="str">
        <x:v>Não atribuído</x:v>
      </x:c>
      <x:c r="J126" s="8" t="str">
        <x:v>Sprint 7–8</x:v>
      </x:c>
      <x:c r="K126" s="8" t="str">
        <x:v>R4</x:v>
      </x:c>
      <x:c r="L126" s="9" t="str">
        <x:v>G6</x:v>
      </x:c>
      <x:c r="M126" s="9" t="str">
        <x:v>Implementação verificada por teste/evidência e documentação atualizada.</x:v>
      </x:c>
      <x:c r="N126" s="9" t="str">
        <x:v>Integração real depende de G6</x:v>
      </x:c>
    </x:row>
    <x:row r="127" ht="42" customHeight="1">
      <x:c r="A127" s="8" t="str">
        <x:v>ZNF-1303</x:v>
      </x:c>
      <x:c r="B127" s="8" t="str">
        <x:v>ZNF-EP13</x:v>
      </x:c>
      <x:c r="C127" s="8" t="str">
        <x:v>Task</x:v>
      </x:c>
      <x:c r="D127" s="9" t="str">
        <x:v>Medir baseline: pedidos/dia, tempo, erros e pessoas</x:v>
      </x:c>
      <x:c r="E127" s="8" t="str">
        <x:v>P1</x:v>
      </x:c>
      <x:c r="F127" s="10" t="n">
        <x:v>5</x:v>
      </x:c>
      <x:c r="G127" s="8" t="str">
        <x:v>G6</x:v>
      </x:c>
      <x:c r="H127" s="8" t="str">
        <x:v>BACKLOG</x:v>
      </x:c>
      <x:c r="I127" s="8" t="str">
        <x:v>Não atribuído</x:v>
      </x:c>
      <x:c r="J127" s="8" t="str">
        <x:v>Sprint 7–8</x:v>
      </x:c>
      <x:c r="K127" s="8" t="str">
        <x:v>R4</x:v>
      </x:c>
      <x:c r="L127" s="9" t="str">
        <x:v>G6</x:v>
      </x:c>
      <x:c r="M127" s="9" t="str">
        <x:v>Implementação verificada por teste/evidência e documentação atualizada.</x:v>
      </x:c>
      <x:c r="N127" s="9" t="str">
        <x:v>Integração real depende de G6</x:v>
      </x:c>
    </x:row>
    <x:row r="128" ht="42" customHeight="1">
      <x:c r="A128" s="8" t="str">
        <x:v>ZNF-1304</x:v>
      </x:c>
      <x:c r="B128" s="8" t="str">
        <x:v>ZNF-EP13</x:v>
      </x:c>
      <x:c r="C128" s="8" t="str">
        <x:v>Story</x:v>
      </x:c>
      <x:c r="D128" s="9" t="str">
        <x:v>Dashboard de tempo economizado com cálculo transparente</x:v>
      </x:c>
      <x:c r="E128" s="8" t="str">
        <x:v>P2</x:v>
      </x:c>
      <x:c r="F128" s="10" t="n">
        <x:v>5</x:v>
      </x:c>
      <x:c r="G128" s="8" t="str">
        <x:v>G1</x:v>
      </x:c>
      <x:c r="H128" s="8" t="str">
        <x:v>BACKLOG</x:v>
      </x:c>
      <x:c r="I128" s="8" t="str">
        <x:v>Não atribuído</x:v>
      </x:c>
      <x:c r="J128" s="8" t="str">
        <x:v>Sprint 7–8</x:v>
      </x:c>
      <x:c r="K128" s="8" t="str">
        <x:v>R4</x:v>
      </x:c>
      <x:c r="L128" s="9" t="str">
        <x:v>G1</x:v>
      </x:c>
      <x:c r="M128" s="9" t="str">
        <x:v>Fluxo concluído pelo usuário e validado no servidor.</x:v>
      </x:c>
      <x:c r="N128" s="9" t="str">
        <x:v>Integração real depende de G1</x:v>
      </x:c>
    </x:row>
    <x:row r="129" ht="42" customHeight="1">
      <x:c r="A129" s="8" t="str">
        <x:v>ZNF-1305</x:v>
      </x:c>
      <x:c r="B129" s="8" t="str">
        <x:v>ZNF-EP13</x:v>
      </x:c>
      <x:c r="C129" s="8" t="str">
        <x:v>Task</x:v>
      </x:c>
      <x:c r="D129" s="9" t="str">
        <x:v>Roteiro de onboarding assistido e treinamento</x:v>
      </x:c>
      <x:c r="E129" s="8" t="str">
        <x:v>P1</x:v>
      </x:c>
      <x:c r="F129" s="10" t="n">
        <x:v>5</x:v>
      </x:c>
      <x:c r="G129" s="8" t="str">
        <x:v>G0</x:v>
      </x:c>
      <x:c r="H129" s="8" t="str">
        <x:v>BACKLOG</x:v>
      </x:c>
      <x:c r="I129" s="8" t="str">
        <x:v>Não atribuído</x:v>
      </x:c>
      <x:c r="J129" s="8" t="str">
        <x:v>Sprint 7–8</x:v>
      </x:c>
      <x:c r="K129" s="8" t="str">
        <x:v>R4</x:v>
      </x:c>
      <x:c r="L129" s="9" t="str">
        <x:v>G0</x:v>
      </x:c>
      <x:c r="M129" s="9" t="str">
        <x:v>Implementação verificada por teste/evidência e documentação atualizada.</x:v>
      </x:c>
      <x:c r="N129" s="9" t="str">
        <x:v>Sem dependência externa</x:v>
      </x:c>
    </x:row>
    <x:row r="130" ht="42" customHeight="1">
      <x:c r="A130" s="8" t="str">
        <x:v>ZNF-1306</x:v>
      </x:c>
      <x:c r="B130" s="8" t="str">
        <x:v>ZNF-EP13</x:v>
      </x:c>
      <x:c r="C130" s="8" t="str">
        <x:v>Task</x:v>
      </x:c>
      <x:c r="D130" s="9" t="str">
        <x:v>Canal de feedback, bugs e pedidos de função</x:v>
      </x:c>
      <x:c r="E130" s="8" t="str">
        <x:v>P1</x:v>
      </x:c>
      <x:c r="F130" s="10" t="n">
        <x:v>3</x:v>
      </x:c>
      <x:c r="G130" s="8" t="str">
        <x:v>G0</x:v>
      </x:c>
      <x:c r="H130" s="8" t="str">
        <x:v>BACKLOG</x:v>
      </x:c>
      <x:c r="I130" s="8" t="str">
        <x:v>Não atribuído</x:v>
      </x:c>
      <x:c r="J130" s="8" t="str">
        <x:v>Sprint 7–8</x:v>
      </x:c>
      <x:c r="K130" s="8" t="str">
        <x:v>R4</x:v>
      </x:c>
      <x:c r="L130" s="9" t="str">
        <x:v>G0</x:v>
      </x:c>
      <x:c r="M130" s="9" t="str">
        <x:v>Implementação verificada por teste/evidência e documentação atualizada.</x:v>
      </x:c>
      <x:c r="N130" s="9" t="str">
        <x:v>Sem dependência externa</x:v>
      </x:c>
    </x:row>
    <x:row r="131" ht="42" customHeight="1">
      <x:c r="A131" s="8" t="str">
        <x:v>ZNF-1307</x:v>
      </x:c>
      <x:c r="B131" s="8" t="str">
        <x:v>ZNF-EP13</x:v>
      </x:c>
      <x:c r="C131" s="8" t="str">
        <x:v>Task</x:v>
      </x:c>
      <x:c r="D131" s="9" t="str">
        <x:v>Critérios go/no-go para ampliar de 2 para 5–10 empresas</x:v>
      </x:c>
      <x:c r="E131" s="8" t="str">
        <x:v>P0</x:v>
      </x:c>
      <x:c r="F131" s="10" t="n">
        <x:v>5</x:v>
      </x:c>
      <x:c r="G131" s="8" t="str">
        <x:v>G0</x:v>
      </x:c>
      <x:c r="H131" s="8" t="str">
        <x:v>BACKLOG</x:v>
      </x:c>
      <x:c r="I131" s="8" t="str">
        <x:v>Não atribuído</x:v>
      </x:c>
      <x:c r="J131" s="8" t="str">
        <x:v>Sprint 7–8</x:v>
      </x:c>
      <x:c r="K131" s="8" t="str">
        <x:v>R4</x:v>
      </x:c>
      <x:c r="L131" s="9" t="str">
        <x:v>G0</x:v>
      </x:c>
      <x:c r="M131" s="9" t="str">
        <x:v>Implementação verificada por teste/evidência e documentação atualizada.</x:v>
      </x:c>
      <x:c r="N131" s="9" t="str">
        <x:v>Sem dependência externa</x:v>
      </x:c>
    </x:row>
    <x:row r="132" ht="42" customHeight="1">
      <x:c r="A132" s="8" t="str">
        <x:v>ZNF-1308</x:v>
      </x:c>
      <x:c r="B132" s="8" t="str">
        <x:v>ZNF-EP13</x:v>
      </x:c>
      <x:c r="C132" s="8" t="str">
        <x:v>Task</x:v>
      </x:c>
      <x:c r="D132" s="9" t="str">
        <x:v>Definir preço piloto e termo comercial</x:v>
      </x:c>
      <x:c r="E132" s="8" t="str">
        <x:v>P2</x:v>
      </x:c>
      <x:c r="F132" s="10" t="n">
        <x:v>5</x:v>
      </x:c>
      <x:c r="G132" s="8" t="str">
        <x:v>G6</x:v>
      </x:c>
      <x:c r="H132" s="8" t="str">
        <x:v>BACKLOG</x:v>
      </x:c>
      <x:c r="I132" s="8" t="str">
        <x:v>Não atribuído</x:v>
      </x:c>
      <x:c r="J132" s="8" t="str">
        <x:v>Sprint 7–8</x:v>
      </x:c>
      <x:c r="K132" s="8" t="str">
        <x:v>R4</x:v>
      </x:c>
      <x:c r="L132" s="9" t="str">
        <x:v>G6</x:v>
      </x:c>
      <x:c r="M132" s="9" t="str">
        <x:v>Implementação verificada por teste/evidência e documentação atualizada.</x:v>
      </x:c>
      <x:c r="N132" s="9" t="str">
        <x:v>Integração real depende de G6</x:v>
      </x:c>
    </x:row>
    <x:row r="133" ht="42" customHeight="1">
      <x:c r="A133" s="8" t="str">
        <x:v>ZNF-1401</x:v>
      </x:c>
      <x:c r="B133" s="8" t="str">
        <x:v>ZNF-EP14</x:v>
      </x:c>
      <x:c r="C133" s="8" t="str">
        <x:v>Epic futuro</x:v>
      </x:c>
      <x:c r="D133" s="9" t="str">
        <x:v>Estoque e disponibilidade</x:v>
      </x:c>
      <x:c r="E133" s="8" t="str">
        <x:v>P3</x:v>
      </x:c>
      <x:c r="F133" s="10"/>
      <x:c r="G133" s="8" t="str">
        <x:v>validação piloto</x:v>
      </x:c>
      <x:c r="H133" s="8" t="str">
        <x:v>ICEBOX</x:v>
      </x:c>
      <x:c r="I133" s="8" t="str">
        <x:v>Não atribuído</x:v>
      </x:c>
      <x:c r="J133" s="8" t="str">
        <x:v>Pós-MVP</x:v>
      </x:c>
      <x:c r="K133" s="8" t="str">
        <x:v>R6</x:v>
      </x:c>
      <x:c r="L133" s="9" t="str">
        <x:v>validação piloto</x:v>
      </x:c>
      <x:c r="M133" s="9" t="str">
        <x:v>Entrada condicionada à validação comercial descrita no roadmap.</x:v>
      </x:c>
      <x:c r="N133" s="9" t="str">
        <x:v>Integração real depende de validação piloto</x:v>
      </x:c>
    </x:row>
    <x:row r="134" ht="42" customHeight="1">
      <x:c r="A134" s="8" t="str">
        <x:v>ZNF-1402</x:v>
      </x:c>
      <x:c r="B134" s="8" t="str">
        <x:v>ZNF-EP14</x:v>
      </x:c>
      <x:c r="C134" s="8" t="str">
        <x:v>Epic futuro</x:v>
      </x:c>
      <x:c r="D134" s="9" t="str">
        <x:v>Compras e fornecedores</x:v>
      </x:c>
      <x:c r="E134" s="8" t="str">
        <x:v>P3</x:v>
      </x:c>
      <x:c r="F134" s="10"/>
      <x:c r="G134" s="8" t="str">
        <x:v>estoque validado</x:v>
      </x:c>
      <x:c r="H134" s="8" t="str">
        <x:v>ICEBOX</x:v>
      </x:c>
      <x:c r="I134" s="8" t="str">
        <x:v>Não atribuído</x:v>
      </x:c>
      <x:c r="J134" s="8" t="str">
        <x:v>Pós-MVP</x:v>
      </x:c>
      <x:c r="K134" s="8" t="str">
        <x:v>R6</x:v>
      </x:c>
      <x:c r="L134" s="9" t="str">
        <x:v>estoque validado</x:v>
      </x:c>
      <x:c r="M134" s="9" t="str">
        <x:v>Entrada condicionada à validação comercial descrita no roadmap.</x:v>
      </x:c>
      <x:c r="N134" s="9" t="str">
        <x:v>Integração real depende de estoque validado</x:v>
      </x:c>
    </x:row>
    <x:row r="135" ht="42" customHeight="1">
      <x:c r="A135" s="8" t="str">
        <x:v>ZNF-1403</x:v>
      </x:c>
      <x:c r="B135" s="8" t="str">
        <x:v>ZNF-EP14</x:v>
      </x:c>
      <x:c r="C135" s="8" t="str">
        <x:v>Epic futuro</x:v>
      </x:c>
      <x:c r="D135" s="9" t="str">
        <x:v>Contas a receber/pagar e conciliação</x:v>
      </x:c>
      <x:c r="E135" s="8" t="str">
        <x:v>P3</x:v>
      </x:c>
      <x:c r="F135" s="10"/>
      <x:c r="G135" s="8" t="str">
        <x:v>demanda validada</x:v>
      </x:c>
      <x:c r="H135" s="8" t="str">
        <x:v>ICEBOX</x:v>
      </x:c>
      <x:c r="I135" s="8" t="str">
        <x:v>Não atribuído</x:v>
      </x:c>
      <x:c r="J135" s="8" t="str">
        <x:v>Pós-MVP</x:v>
      </x:c>
      <x:c r="K135" s="8" t="str">
        <x:v>R6</x:v>
      </x:c>
      <x:c r="L135" s="9" t="str">
        <x:v>demanda validada</x:v>
      </x:c>
      <x:c r="M135" s="9" t="str">
        <x:v>Entrada condicionada à validação comercial descrita no roadmap.</x:v>
      </x:c>
      <x:c r="N135" s="9" t="str">
        <x:v>Integração real depende de demanda validada</x:v>
      </x:c>
    </x:row>
    <x:row r="136" ht="42" customHeight="1">
      <x:c r="A136" s="8" t="str">
        <x:v>ZNF-1404</x:v>
      </x:c>
      <x:c r="B136" s="8" t="str">
        <x:v>ZNF-EP14</x:v>
      </x:c>
      <x:c r="C136" s="8" t="str">
        <x:v>Epic futuro</x:v>
      </x:c>
      <x:c r="D136" s="9" t="str">
        <x:v>Entregas, rotas e comprovantes</x:v>
      </x:c>
      <x:c r="E136" s="8" t="str">
        <x:v>P3</x:v>
      </x:c>
      <x:c r="F136" s="10"/>
      <x:c r="G136" s="8" t="str">
        <x:v>demanda validada</x:v>
      </x:c>
      <x:c r="H136" s="8" t="str">
        <x:v>ICEBOX</x:v>
      </x:c>
      <x:c r="I136" s="8" t="str">
        <x:v>Não atribuído</x:v>
      </x:c>
      <x:c r="J136" s="8" t="str">
        <x:v>Pós-MVP</x:v>
      </x:c>
      <x:c r="K136" s="8" t="str">
        <x:v>R6</x:v>
      </x:c>
      <x:c r="L136" s="9" t="str">
        <x:v>demanda validada</x:v>
      </x:c>
      <x:c r="M136" s="9" t="str">
        <x:v>Entrada condicionada à validação comercial descrita no roadmap.</x:v>
      </x:c>
      <x:c r="N136" s="9" t="str">
        <x:v>Integração real depende de demanda validada</x:v>
      </x:c>
    </x:row>
    <x:row r="137" ht="42" customHeight="1">
      <x:c r="A137" s="8" t="str">
        <x:v>ZNF-1405</x:v>
      </x:c>
      <x:c r="B137" s="8" t="str">
        <x:v>ZNF-EP14</x:v>
      </x:c>
      <x:c r="C137" s="8" t="str">
        <x:v>Epic futuro</x:v>
      </x:c>
      <x:c r="D137" s="9" t="str">
        <x:v>Vendedores, metas e comissões</x:v>
      </x:c>
      <x:c r="E137" s="8" t="str">
        <x:v>P3</x:v>
      </x:c>
      <x:c r="F137" s="10"/>
      <x:c r="G137" s="8" t="str">
        <x:v>demanda validada</x:v>
      </x:c>
      <x:c r="H137" s="8" t="str">
        <x:v>ICEBOX</x:v>
      </x:c>
      <x:c r="I137" s="8" t="str">
        <x:v>Não atribuído</x:v>
      </x:c>
      <x:c r="J137" s="8" t="str">
        <x:v>Pós-MVP</x:v>
      </x:c>
      <x:c r="K137" s="8" t="str">
        <x:v>R6</x:v>
      </x:c>
      <x:c r="L137" s="9" t="str">
        <x:v>demanda validada</x:v>
      </x:c>
      <x:c r="M137" s="9" t="str">
        <x:v>Entrada condicionada à validação comercial descrita no roadmap.</x:v>
      </x:c>
      <x:c r="N137" s="9" t="str">
        <x:v>Integração real depende de demanda validada</x:v>
      </x:c>
    </x:row>
    <x:row r="138" ht="42" customHeight="1">
      <x:c r="A138" s="8" t="str">
        <x:v>ZNF-1406</x:v>
      </x:c>
      <x:c r="B138" s="8" t="str">
        <x:v>ZNF-EP14</x:v>
      </x:c>
      <x:c r="C138" s="8" t="str">
        <x:v>Epic futuro</x:v>
      </x:c>
      <x:c r="D138" s="9" t="str">
        <x:v>Relatórios e inteligência por segmento</x:v>
      </x:c>
      <x:c r="E138" s="8" t="str">
        <x:v>P3</x:v>
      </x:c>
      <x:c r="F138" s="10"/>
      <x:c r="G138" s="8" t="str">
        <x:v>dados suficientes</x:v>
      </x:c>
      <x:c r="H138" s="8" t="str">
        <x:v>ICEBOX</x:v>
      </x:c>
      <x:c r="I138" s="8" t="str">
        <x:v>Não atribuído</x:v>
      </x:c>
      <x:c r="J138" s="8" t="str">
        <x:v>Pós-MVP</x:v>
      </x:c>
      <x:c r="K138" s="8" t="str">
        <x:v>R6</x:v>
      </x:c>
      <x:c r="L138" s="9" t="str">
        <x:v>dados suficientes</x:v>
      </x:c>
      <x:c r="M138" s="9" t="str">
        <x:v>Entrada condicionada à validação comercial descrita no roadmap.</x:v>
      </x:c>
      <x:c r="N138" s="9" t="str">
        <x:v>Integração real depende de dados suficientes</x:v>
      </x:c>
    </x:row>
    <x:row r="139" ht="42" customHeight="1">
      <x:c r="A139" s="8" t="str">
        <x:v>ZNF-1407</x:v>
      </x:c>
      <x:c r="B139" s="8" t="str">
        <x:v>ZNF-EP14</x:v>
      </x:c>
      <x:c r="C139" s="8" t="str">
        <x:v>Epic futuro</x:v>
      </x:c>
      <x:c r="D139" s="9" t="str">
        <x:v>ERP especializado por nicho</x:v>
      </x:c>
      <x:c r="E139" s="8" t="str">
        <x:v>P3</x:v>
      </x:c>
      <x:c r="F139" s="10"/>
      <x:c r="G139" s="8" t="str">
        <x:v>receita e padrão comprovados</x:v>
      </x:c>
      <x:c r="H139" s="8" t="str">
        <x:v>ICEBOX</x:v>
      </x:c>
      <x:c r="I139" s="8" t="str">
        <x:v>Não atribuído</x:v>
      </x:c>
      <x:c r="J139" s="8" t="str">
        <x:v>Pós-MVP</x:v>
      </x:c>
      <x:c r="K139" s="8" t="str">
        <x:v>R6</x:v>
      </x:c>
      <x:c r="L139" s="9" t="str">
        <x:v>receita e padrão comprovados</x:v>
      </x:c>
      <x:c r="M139" s="9" t="str">
        <x:v>Entrada condicionada à validação comercial descrita no roadmap.</x:v>
      </x:c>
      <x:c r="N139" s="9" t="str">
        <x:v>Integração real depende de receita e padrão comprovados</x:v>
      </x:c>
    </x:row>
  </x:sheetData>
  <x:mergeCells>
    <x:mergeCell ref="A1:N1"/>
    <x:mergeCell ref="A2:N2"/>
  </x:mergeCells>
  <x:conditionalFormatting sqref="H6:H139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  <x:cfRule type="containsText" dxfId="3" priority="4" operator="containsText" text="READY"/>
    <x:cfRule type="containsText" dxfId="4" priority="5" operator="containsText" text="ICEBOX"/>
  </x:conditionalFormatting>
  <x:conditionalFormatting sqref="E6:E139">
    <x:cfRule type="containsText" dxfId="5" priority="6" operator="containsText" text="P0"/>
    <x:cfRule type="containsText" dxfId="6" priority="7" operator="containsText" text="P1"/>
    <x:cfRule type="containsText" dxfId="7" priority="8" operator="containsText" text="P2"/>
    <x:cfRule type="containsText" dxfId="8" priority="9" operator="containsText" text="P3"/>
  </x:conditionalFormatting>
  <x:dataValidations count="6">
    <x:dataValidation type="list" sqref="C6:C139">
      <x:formula1>"Story,Task,Spike,Bug,Epic futuro"</x:formula1>
    </x:dataValidation>
    <x:dataValidation type="list" sqref="E6:E139">
      <x:formula1>"P0,P1,P2,P3"</x:formula1>
    </x:dataValidation>
    <x:dataValidation type="list" sqref="H6:H139">
      <x:formula1>"BACKLOG,READY,IN PROGRESS,CODE REVIEW,QA,BLOCKED,PARTIAL,DONE,ICEBOX"</x:formula1>
    </x:dataValidation>
    <x:dataValidation type="list" sqref="I6:I139">
      <x:formula1>"Não atribuído,Guthierre,Codex,Fiscal,Jurídico,Cliente piloto"</x:formula1>
    </x:dataValidation>
    <x:dataValidation type="list" sqref="J6:J139">
      <x:formula1>"Concluído,Sprint 1,Sprint 2,Sprint 3–4,Sprint 5–6,Sprint 7–8,Sprint 9–10,Backlog,Pós-MVP"</x:formula1>
    </x:dataValidation>
    <x:dataValidation type="list" sqref="K6:K139">
      <x:formula1>"R0,R1,R2,R3,R4,R5,R6,Transversal"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988400841540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10" hidden="0" customWidth="1"/>
    <x:col min="5" max="5" width="10" hidden="0" customWidth="1"/>
    <x:col min="6" max="6" width="10" hidden="0" customWidth="1"/>
    <x:col min="7" max="7" width="13" hidden="0" customWidth="1"/>
    <x:col min="8" max="8" width="12" hidden="0" customWidth="1"/>
    <x:col min="9" max="9" width="55" hidden="0" customWidth="1"/>
  </x:cols>
  <x:sheetData>
    <x:row r="1" ht="34" customHeight="1">
      <x:c r="A1" s="3" t="str">
        <x:v>ZapNFe | Épicos</x:v>
      </x:c>
      <x:c r="B1" s="3" t="str">
        <x:v>ZapNFe | Épicos</x:v>
      </x:c>
      <x:c r="C1" s="3" t="str">
        <x:v>ZapNFe | Épicos</x:v>
      </x:c>
      <x:c r="D1" s="3" t="str">
        <x:v>ZapNFe | Épicos</x:v>
      </x:c>
      <x:c r="E1" s="3" t="str">
        <x:v>ZapNFe | Épicos</x:v>
      </x:c>
      <x:c r="F1" s="3" t="str">
        <x:v>ZapNFe | Épicos</x:v>
      </x:c>
      <x:c r="G1" s="3" t="str">
        <x:v>ZapNFe | Épicos</x:v>
      </x:c>
      <x:c r="H1" s="3" t="str">
        <x:v>ZapNFe | Épicos</x:v>
      </x:c>
      <x:c r="I1" s="3" t="str">
        <x:v>ZapNFe | Épicos</x:v>
      </x:c>
    </x:row>
    <x:row r="2" ht="24" customHeight="1">
      <x:c r="A2" s="6" t="str">
        <x:v>Visão consolidada por capacidade de produto</x:v>
      </x:c>
      <x:c r="B2" s="6" t="str">
        <x:v>Visão consolidada por capacidade de produto</x:v>
      </x:c>
      <x:c r="C2" s="6" t="str">
        <x:v>Visão consolidada por capacidade de produto</x:v>
      </x:c>
      <x:c r="D2" s="6" t="str">
        <x:v>Visão consolidada por capacidade de produto</x:v>
      </x:c>
      <x:c r="E2" s="6" t="str">
        <x:v>Visão consolidada por capacidade de produto</x:v>
      </x:c>
      <x:c r="F2" s="6" t="str">
        <x:v>Visão consolidada por capacidade de produto</x:v>
      </x:c>
      <x:c r="G2" s="6" t="str">
        <x:v>Visão consolidada por capacidade de produto</x:v>
      </x:c>
      <x:c r="H2" s="6" t="str">
        <x:v>Visão consolidada por capacidade de produto</x:v>
      </x:c>
      <x:c r="I2" s="6" t="str">
        <x:v>Visão consolidada por capacidade de produto</x:v>
      </x:c>
    </x:row>
    <x:row r="5">
      <x:c r="A5" t="str">
        <x:v>Key</x:v>
      </x:c>
      <x:c r="B5" t="str">
        <x:v>Épico</x:v>
      </x:c>
      <x:c r="C5" t="str">
        <x:v>Objetivo</x:v>
      </x:c>
      <x:c r="D5" t="str">
        <x:v>Issues</x:v>
      </x:c>
      <x:c r="E5" t="str">
        <x:v>SP</x:v>
      </x:c>
      <x:c r="F5" t="str">
        <x:v>Done</x:v>
      </x:c>
      <x:c r="G5" t="str">
        <x:v>Progresso</x:v>
      </x:c>
      <x:c r="H5" t="str">
        <x:v>Release</x:v>
      </x:c>
      <x:c r="I5" t="str">
        <x:v>Critérios de aceite</x:v>
      </x:c>
    </x:row>
    <x:row r="6" ht="52" customHeight="1">
      <x:c r="A6" s="8" t="str">
        <x:v>ZNF-EP01</x:v>
      </x:c>
      <x:c r="B6" s="9" t="str">
        <x:v>Fundação, arquitetura e experiência de desenvolvimento</x:v>
      </x:c>
      <x:c r="C6" s="9" t="str">
        <x:v>manter uma base modular, verificável e preparada para integrações substituíveis.</x:v>
      </x:c>
      <x:c r="D6" s="8" t="n">
        <x:f>COUNTIF('Backlog'!$B$6:$B$139,A6)</x:f>
        <x:v>8</x:v>
      </x:c>
      <x:c r="E6" s="8" t="n">
        <x:f>SUMIF('Backlog'!$B$6:$B$139,A6,'Backlog'!$F$6:$F$139)</x:f>
        <x:v>33</x:v>
      </x:c>
      <x:c r="F6" s="8" t="n">
        <x:f>COUNTIFS('Backlog'!$B$6:$B$139,A6,'Backlog'!$H$6:$H$139,"DONE")</x:f>
        <x:v>4</x:v>
      </x:c>
      <x:c r="G6" s="11" t="n">
        <x:f>IFERROR(F6/D6,0)</x:f>
        <x:v>0.5</x:v>
      </x:c>
      <x:c r="H6" s="8" t="str">
        <x:v>R1</x:v>
      </x:c>
      <x:c r="I6" s="9" t="str">
        <x:v>Nenhuma regra de negócio importante depende diretamente de SDK externo. • Integrações possuem interface, implementação real e fake de teste. • `npm run quality` e gates de segurança permanecem obrigatórios. • Nenhum arquivo de aplicação ultrapassa 1.000 linhas.</x:v>
      </x:c>
    </x:row>
    <x:row r="7" ht="52" customHeight="1">
      <x:c r="A7" s="8" t="str">
        <x:v>ZNF-EP02</x:v>
      </x:c>
      <x:c r="B7" s="9" t="str">
        <x:v>Autenticação, sessões e multiempresa</x:v>
      </x:c>
      <x:c r="C7" s="9" t="str">
        <x:v>cada usuário acessa apenas empresas das quais é membro, com permissões verificadas no servidor e no banco.</x:v>
      </x:c>
      <x:c r="D7" s="8" t="n">
        <x:f>COUNTIF('Backlog'!$B$6:$B$139,A7)</x:f>
        <x:v>9</x:v>
      </x:c>
      <x:c r="E7" s="8" t="n">
        <x:f>SUMIF('Backlog'!$B$6:$B$139,A7,'Backlog'!$F$6:$F$139)</x:f>
        <x:v>53</x:v>
      </x:c>
      <x:c r="F7" s="8" t="n">
        <x:f>COUNTIFS('Backlog'!$B$6:$B$139,A7,'Backlog'!$H$6:$H$139,"DONE")</x:f>
        <x:v>0</x:v>
      </x:c>
      <x:c r="G7" s="11" t="n">
        <x:f>IFERROR(F7/D7,0)</x:f>
        <x:v>0</x:v>
      </x:c>
      <x:c r="H7" s="8" t="str">
        <x:v>R1</x:v>
      </x:c>
      <x:c r="I7" s="9" t="str">
        <x:v>Usuário A não consegue ler, alterar ou inferir dados da empresa B por UI, API ou Data API. • Ocultar botão nunca é tratado como autorização. • Service role permanece exclusivamente no servidor. • Convite expirado, removido ou pertencente a outra organização é recusado.</x:v>
      </x:c>
    </x:row>
    <x:row r="8" ht="52" customHeight="1">
      <x:c r="A8" s="8" t="str">
        <x:v>ZNF-EP03</x:v>
      </x:c>
      <x:c r="B8" s="9" t="str">
        <x:v>Cadastro e onboarding da empresa</x:v>
      </x:c>
      <x:c r="C8" s="9" t="str">
        <x:v>criar uma organização pronta para operar sem expor termos técnicos da Meta ao pequeno empresário.</x:v>
      </x:c>
      <x:c r="D8" s="8" t="n">
        <x:f>COUNTIF('Backlog'!$B$6:$B$139,A8)</x:f>
        <x:v>8</x:v>
      </x:c>
      <x:c r="E8" s="8" t="n">
        <x:f>SUMIF('Backlog'!$B$6:$B$139,A8,'Backlog'!$F$6:$F$139)</x:f>
        <x:v>41</x:v>
      </x:c>
      <x:c r="F8" s="8" t="n">
        <x:f>COUNTIFS('Backlog'!$B$6:$B$139,A8,'Backlog'!$H$6:$H$139,"DONE")</x:f>
        <x:v>0</x:v>
      </x:c>
      <x:c r="G8" s="11" t="n">
        <x:f>IFERROR(F8/D8,0)</x:f>
        <x:v>0</x:v>
      </x:c>
      <x:c r="H8" s="8" t="str">
        <x:v>R1</x:v>
      </x:c>
      <x:c r="I8" s="9" t="str">
        <x:v>O cliente entende o próximo passo sem precisar conhecer API, WABA ou Business Manager. • O backend é a única camada que trata código de autorização e tokens. • O checklist diferencia “configurado”, “testado” e “pronto para produção”.</x:v>
      </x:c>
    </x:row>
    <x:row r="9" ht="52" customHeight="1">
      <x:c r="A9" s="8" t="str">
        <x:v>ZNF-EP04</x:v>
      </x:c>
      <x:c r="B9" s="9" t="str">
        <x:v>Clientes, produtos, preços e importação</x:v>
      </x:c>
      <x:c r="C9" s="9" t="str">
        <x:v>manter o catálogo mínimo necessário para interpretar e faturar pedidos.</x:v>
      </x:c>
      <x:c r="D9" s="8" t="n">
        <x:f>COUNTIF('Backlog'!$B$6:$B$139,A9)</x:f>
        <x:v>9</x:v>
      </x:c>
      <x:c r="E9" s="8" t="n">
        <x:f>SUMIF('Backlog'!$B$6:$B$139,A9,'Backlog'!$F$6:$F$139)</x:f>
        <x:v>50</x:v>
      </x:c>
      <x:c r="F9" s="8" t="n">
        <x:f>COUNTIFS('Backlog'!$B$6:$B$139,A9,'Backlog'!$H$6:$H$139,"DONE")</x:f>
        <x:v>0</x:v>
      </x:c>
      <x:c r="G9" s="11" t="n">
        <x:f>IFERROR(F9/D9,0)</x:f>
        <x:v>0</x:v>
      </x:c>
      <x:c r="H9" s="8" t="str">
        <x:v>R1</x:v>
      </x:c>
      <x:c r="I9" s="9" t="str">
        <x:v>SKU é único por empresa e alterações não afetam outra organização. • Importação não grava parcialmente quando o modo atômico estiver selecionado. • Alias melhora correspondência sem substituir o nome fiscal do produto. • Estoque não entra no MVP; apenas um campo informativo futuro pode ser preparado.</x:v>
      </x:c>
    </x:row>
    <x:row r="10" ht="52" customHeight="1">
      <x:c r="A10" s="8" t="str">
        <x:v>ZNF-EP05</x:v>
      </x:c>
      <x:c r="B10" s="9" t="str">
        <x:v>Caixa de entrada, pedidos e conferência</x:v>
      </x:c>
      <x:c r="C10" s="9" t="str">
        <x:v>permitir que um operador transforme uma extração incerta em pedido correto antes de faturar.</x:v>
      </x:c>
      <x:c r="D10" s="8" t="n">
        <x:f>COUNTIF('Backlog'!$B$6:$B$139,A10)</x:f>
        <x:v>11</x:v>
      </x:c>
      <x:c r="E10" s="8" t="n">
        <x:f>SUMIF('Backlog'!$B$6:$B$139,A10,'Backlog'!$F$6:$F$139)</x:f>
        <x:v>62</x:v>
      </x:c>
      <x:c r="F10" s="8" t="n">
        <x:f>COUNTIFS('Backlog'!$B$6:$B$139,A10,'Backlog'!$H$6:$H$139,"DONE")</x:f>
        <x:v>0</x:v>
      </x:c>
      <x:c r="G10" s="11" t="n">
        <x:f>IFERROR(F10/D10,0)</x:f>
        <x:v>0</x:v>
      </x:c>
      <x:c r="H10" s="8" t="str">
        <x:v>R1</x:v>
      </x:c>
      <x:c r="I10" s="9" t="str">
        <x:v>Totais exibidos e persistidos são calculados server-side. • Pedido com item sem produto, quantidade inválida ou dado fiscal ausente não pode faturar. • Toda transição inválida de status é rejeitada mesmo quando chamada fora da interface. • O botão Aprovar é idempotente e deixa trilha de auditoria.</x:v>
      </x:c>
    </x:row>
    <x:row r="11" ht="52" customHeight="1">
      <x:c r="A11" s="8" t="str">
        <x:v>ZNF-EP06</x:v>
      </x:c>
      <x:c r="B11" s="9" t="str">
        <x:v>Extração inteligente de pedidos</x:v>
      </x:c>
      <x:c r="C11" s="9" t="str">
        <x:v>interpretar mensagens sem inventar produtos e medir continuamente a qualidade.</x:v>
      </x:c>
      <x:c r="D11" s="8" t="n">
        <x:f>COUNTIF('Backlog'!$B$6:$B$139,A11)</x:f>
        <x:v>9</x:v>
      </x:c>
      <x:c r="E11" s="8" t="n">
        <x:f>SUMIF('Backlog'!$B$6:$B$139,A11,'Backlog'!$F$6:$F$139)</x:f>
        <x:v>45</x:v>
      </x:c>
      <x:c r="F11" s="8" t="n">
        <x:f>COUNTIFS('Backlog'!$B$6:$B$139,A11,'Backlog'!$H$6:$H$139,"DONE")</x:f>
        <x:v>0</x:v>
      </x:c>
      <x:c r="G11" s="11" t="n">
        <x:f>IFERROR(F11/D11,0)</x:f>
        <x:v>0</x:v>
      </x:c>
      <x:c r="H11" s="8" t="str">
        <x:v>R2</x:v>
      </x:c>
      <x:c r="I11" s="9" t="str">
        <x:v>O modelo só pode retornar IDs existentes no catálogo; o servidor confirma novamente. • Produto não identificado vira revisão humana, nunca item fiscal inventado. • Mensagens de não-pedido não criam pedido. • Meta inicial do piloto: pelo menos 90% dos itens reconhecidos corretamente no conjunto do nicho, sem aprovação automática.</x:v>
      </x:c>
    </x:row>
    <x:row r="12" ht="52" customHeight="1">
      <x:c r="A12" s="8" t="str">
        <x:v>ZNF-EP07</x:v>
      </x:c>
      <x:c r="B12" s="9" t="str">
        <x:v>WhatsApp Cloud API e onboarding Meta</x:v>
      </x:c>
      <x:c r="C12" s="9" t="str">
        <x:v>operar um único App Meta do ZapNFe para múltiplas empresas e números oficiais.</x:v>
      </x:c>
      <x:c r="D12" s="8" t="n">
        <x:f>COUNTIF('Backlog'!$B$6:$B$139,A12)</x:f>
        <x:v>13</x:v>
      </x:c>
      <x:c r="E12" s="8" t="n">
        <x:f>SUMIF('Backlog'!$B$6:$B$139,A12,'Backlog'!$F$6:$F$139)</x:f>
        <x:v>83</x:v>
      </x:c>
      <x:c r="F12" s="8" t="n">
        <x:f>COUNTIFS('Backlog'!$B$6:$B$139,A12,'Backlog'!$H$6:$H$139,"DONE")</x:f>
        <x:v>0</x:v>
      </x:c>
      <x:c r="G12" s="11" t="n">
        <x:f>IFERROR(F12/D12,0)</x:f>
        <x:v>0</x:v>
      </x:c>
      <x:c r="H12" s="8" t="str">
        <x:v>R2</x:v>
      </x:c>
      <x:c r="I12" s="9" t="str">
        <x:v>`phone_number_id` resolve exatamente uma organização ativa. • Evento duplicado ou fora de ordem não duplica pedido nem regride status. • Token não aparece no navegador, logs, banco em texto aberto ou mensagens de erro. • Falha transitória é retentada com backoff e encaminhada para dead-letter após o limite. • Uso de WhatsApp Web não oficial permanece fora do produto comercial.</x:v>
      </x:c>
    </x:row>
    <x:row r="13" ht="52" customHeight="1">
      <x:c r="A13" s="8" t="str">
        <x:v>ZNF-EP08</x:v>
      </x:c>
      <x:c r="B13" s="9" t="str">
        <x:v>Configuração fiscal, A1 e Focus NFe</x:v>
      </x:c>
      <x:c r="C13" s="9" t="str">
        <x:v>emitir NF-e em homologação de forma idempotente, auditável e segura.</x:v>
      </x:c>
      <x:c r="D13" s="8" t="n">
        <x:f>COUNTIF('Backlog'!$B$6:$B$139,A13)</x:f>
        <x:v>14</x:v>
      </x:c>
      <x:c r="E13" s="8" t="n">
        <x:f>SUMIF('Backlog'!$B$6:$B$139,A13,'Backlog'!$F$6:$F$139)</x:f>
        <x:v>108</x:v>
      </x:c>
      <x:c r="F13" s="8" t="n">
        <x:f>COUNTIFS('Backlog'!$B$6:$B$139,A13,'Backlog'!$H$6:$H$139,"DONE")</x:f>
        <x:v>0</x:v>
      </x:c>
      <x:c r="G13" s="11" t="n">
        <x:f>IFERROR(F13/D13,0)</x:f>
        <x:v>0</x:v>
      </x:c>
      <x:c r="H13" s="8" t="str">
        <x:v>R3</x:v>
      </x:c>
      <x:c r="I13" s="9" t="str">
        <x:v>Toda primeira emissão ocorre em homologação. • Duplo clique, timeout ou retentativa usa a mesma referência e não duplica NF-e. • Pedido só vira `Faturado` após confirmação autorizada do provedor. • Rejeição fiscal mantém o pedido corrigível e não é apresentada como sucesso. • A1 e senha nunca são registrados em logs; retenção é mínima e documentada.</x:v>
      </x:c>
    </x:row>
    <x:row r="14" ht="52" customHeight="1">
      <x:c r="A14" s="8" t="str">
        <x:v>ZNF-EP09</x:v>
      </x:c>
      <x:c r="B14" s="9" t="str">
        <x:v>Entrega de DANFE/XML e comunicação</x:v>
      </x:c>
      <x:c r="C14" s="9" t="str">
        <x:v>devolver ao cliente o documento correto e registrar a entrega.</x:v>
      </x:c>
      <x:c r="D14" s="8" t="n">
        <x:f>COUNTIF('Backlog'!$B$6:$B$139,A14)</x:f>
        <x:v>7</x:v>
      </x:c>
      <x:c r="E14" s="8" t="n">
        <x:f>SUMIF('Backlog'!$B$6:$B$139,A14,'Backlog'!$F$6:$F$139)</x:f>
        <x:v>40</x:v>
      </x:c>
      <x:c r="F14" s="8" t="n">
        <x:f>COUNTIFS('Backlog'!$B$6:$B$139,A14,'Backlog'!$H$6:$H$139,"DONE")</x:f>
        <x:v>0</x:v>
      </x:c>
      <x:c r="G14" s="11" t="n">
        <x:f>IFERROR(F14/D14,0)</x:f>
        <x:v>0</x:v>
      </x:c>
      <x:c r="H14" s="8" t="str">
        <x:v>R3</x:v>
      </x:c>
      <x:c r="I14" s="9" t="str">
        <x:v>O link não revela caminho interno nem permite trocar organização/documento. • Reenvio não cria nova NF-e. • Status de entrega é idempotente e tolera eventos fora de ordem. • Mensagens comerciais seguem consentimento e regras vigentes da plataforma.</x:v>
      </x:c>
    </x:row>
    <x:row r="15" ht="52" customHeight="1">
      <x:c r="A15" s="8" t="str">
        <x:v>ZNF-EP10</x:v>
      </x:c>
      <x:c r="B15" s="9" t="str">
        <x:v>Segurança, privacidade, LGPD e governança</x:v>
      </x:c>
      <x:c r="C15" s="9" t="str">
        <x:v>incorporar segurança e privacidade ao ciclo de desenvolvimento e à operação.</x:v>
      </x:c>
      <x:c r="D15" s="8" t="n">
        <x:f>COUNTIF('Backlog'!$B$6:$B$139,A15)</x:f>
        <x:v>13</x:v>
      </x:c>
      <x:c r="E15" s="8" t="n">
        <x:f>SUMIF('Backlog'!$B$6:$B$139,A15,'Backlog'!$F$6:$F$139)</x:f>
        <x:v>86</x:v>
      </x:c>
      <x:c r="F15" s="8" t="n">
        <x:f>COUNTIFS('Backlog'!$B$6:$B$139,A15,'Backlog'!$H$6:$H$139,"DONE")</x:f>
        <x:v>3</x:v>
      </x:c>
      <x:c r="G15" s="11" t="n">
        <x:f>IFERROR(F15/D15,0)</x:f>
        <x:v>0.23076923076923078</x:v>
      </x:c>
      <x:c r="H15" s="8" t="str">
        <x:v>Transversal</x:v>
      </x:c>
      <x:c r="I15" s="9" t="str">
        <x:v>Nenhum segredo entra no Git, chat, bundle do navegador ou log. • Todas as tabelas expostas têm RLS, grants mínimos e testes positivos/negativos. • Solicitações de acesso, correção e exclusão têm protocolo e identidade verificada. • Incidentes têm responsável, classificação, evidências, contenção e prazo operacional definido. • Textos legais são revisados antes da produção e não prometem controles inexistentes.</x:v>
      </x:c>
    </x:row>
    <x:row r="16" ht="52" customHeight="1">
      <x:c r="A16" s="8" t="str">
        <x:v>ZNF-EP11</x:v>
      </x:c>
      <x:c r="B16" s="9" t="str">
        <x:v>Observabilidade, filas e suporte operacional</x:v>
      </x:c>
      <x:c r="C16" s="9" t="str">
        <x:v>detectar falhas antes que o cliente descubra e conseguir recuperar o fluxo.</x:v>
      </x:c>
      <x:c r="D16" s="8" t="n">
        <x:f>COUNTIF('Backlog'!$B$6:$B$139,A16)</x:f>
        <x:v>8</x:v>
      </x:c>
      <x:c r="E16" s="8" t="n">
        <x:f>SUMIF('Backlog'!$B$6:$B$139,A16,'Backlog'!$F$6:$F$139)</x:f>
        <x:v>47</x:v>
      </x:c>
      <x:c r="F16" s="8" t="n">
        <x:f>COUNTIFS('Backlog'!$B$6:$B$139,A16,'Backlog'!$H$6:$H$139,"DONE")</x:f>
        <x:v>0</x:v>
      </x:c>
      <x:c r="G16" s="11" t="n">
        <x:f>IFERROR(F16/D16,0)</x:f>
        <x:v>0</x:v>
      </x:c>
      <x:c r="H16" s="8" t="str">
        <x:v>Transversal</x:v>
      </x:c>
      <x:c r="I16" s="9" t="str">
        <x:v>É possível localizar um pedido usando IDs internos sem pesquisar conteúdo de mensagem em logs. • Reprocessamento é autorizado, auditado e idempotente. • Falha da Meta, Gemini, Supabase ou Focus é distinguível.</x:v>
      </x:c>
    </x:row>
    <x:row r="17" ht="52" customHeight="1">
      <x:c r="A17" s="8" t="str">
        <x:v>ZNF-EP12</x:v>
      </x:c>
      <x:c r="B17" s="9" t="str">
        <x:v>Qualidade, testes e release</x:v>
      </x:c>
      <x:c r="C17" s="9" t="str">
        <x:v>impedir regressões e comprovar o caminho crítico antes de cada release.</x:v>
      </x:c>
      <x:c r="D17" s="8" t="n">
        <x:f>COUNTIF('Backlog'!$B$6:$B$139,A17)</x:f>
        <x:v>10</x:v>
      </x:c>
      <x:c r="E17" s="8" t="n">
        <x:f>SUMIF('Backlog'!$B$6:$B$139,A17,'Backlog'!$F$6:$F$139)</x:f>
        <x:v>73</x:v>
      </x:c>
      <x:c r="F17" s="8" t="n">
        <x:f>COUNTIFS('Backlog'!$B$6:$B$139,A17,'Backlog'!$H$6:$H$139,"DONE")</x:f>
        <x:v>0</x:v>
      </x:c>
      <x:c r="G17" s="11" t="n">
        <x:f>IFERROR(F17/D17,0)</x:f>
        <x:v>0</x:v>
      </x:c>
      <x:c r="H17" s="8" t="str">
        <x:v>Transversal</x:v>
      </x:c>
      <x:c r="I17" s="9" t="str">
        <x:v>O caminho crítico tem teste automático e roteiro manual. • Build/Preview isolado não é aceito como prova de banco, RLS ou integração externa. • Toda migration tem teste, plano de rollback ou estratégia forward-only documentada. • Produção exige aprovação explícita após homologação.</x:v>
      </x:c>
    </x:row>
    <x:row r="18" ht="52" customHeight="1">
      <x:c r="A18" s="8" t="str">
        <x:v>ZNF-EP13</x:v>
      </x:c>
      <x:c r="B18" s="9" t="str">
        <x:v>Piloto, métricas e operação comercial</x:v>
      </x:c>
      <x:c r="C18" s="9" t="str">
        <x:v>validar economia real de tempo e escolher a evolução pelo comportamento dos clientes.</x:v>
      </x:c>
      <x:c r="D18" s="8" t="n">
        <x:f>COUNTIF('Backlog'!$B$6:$B$139,A18)</x:f>
        <x:v>8</x:v>
      </x:c>
      <x:c r="E18" s="8" t="n">
        <x:f>SUMIF('Backlog'!$B$6:$B$139,A18,'Backlog'!$F$6:$F$139)</x:f>
        <x:v>36</x:v>
      </x:c>
      <x:c r="F18" s="8" t="n">
        <x:f>COUNTIFS('Backlog'!$B$6:$B$139,A18,'Backlog'!$H$6:$H$139,"DONE")</x:f>
        <x:v>0</x:v>
      </x:c>
      <x:c r="G18" s="11" t="n">
        <x:f>IFERROR(F18/D18,0)</x:f>
        <x:v>0</x:v>
      </x:c>
      <x:c r="H18" s="8" t="str">
        <x:v>R4</x:v>
      </x:c>
      <x:c r="I18" s="9" t="str">
        <x:v>Métrica principal: minutos humanos por pedido faturado. • Métricas auxiliares: taxa de itens corrigidos, tempo até conferência, erros fiscais e disponibilidade. • Nenhum novo módulo grande entra apenas por opinião isolada. • A expansão ocorre quando o caminho principal é repetível e seguro.</x:v>
      </x:c>
    </x:row>
    <x:row r="19" ht="52" customHeight="1">
      <x:c r="A19" s="8" t="str">
        <x:v>ZNF-EP14</x:v>
      </x:c>
      <x:c r="B19" s="9" t="str">
        <x:v>Expansão pós-MVP</x:v>
      </x:c>
      <x:c r="C19" s="9" t="str">
        <x:v>evoluir para ERP vertical somente após evidência comercial.</x:v>
      </x:c>
      <x:c r="D19" s="8" t="n">
        <x:f>COUNTIF('Backlog'!$B$6:$B$139,A19)</x:f>
        <x:v>7</x:v>
      </x:c>
      <x:c r="E19" s="8" t="n">
        <x:f>SUMIF('Backlog'!$B$6:$B$139,A19,'Backlog'!$F$6:$F$139)</x:f>
        <x:v>0</x:v>
      </x:c>
      <x:c r="F19" s="8" t="n">
        <x:f>COUNTIFS('Backlog'!$B$6:$B$139,A19,'Backlog'!$H$6:$H$139,"DONE")</x:f>
        <x:v>0</x:v>
      </x:c>
      <x:c r="G19" s="11" t="n">
        <x:f>IFERROR(F19/D19,0)</x:f>
        <x:v>0</x:v>
      </x:c>
      <x:c r="H19" s="8" t="str">
        <x:v>R6</x:v>
      </x:c>
      <x:c r="I19" s="9" t="str"/>
    </x:row>
  </x:sheetData>
  <x:mergeCells>
    <x:mergeCell ref="A1:I1"/>
    <x:mergeCell ref="A2:I2"/>
  </x:mergeCells>
  <x:conditionalFormatting sqref="G6:G19">
    <x:cfRule type="dataBar" priority="1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{AF6BADF6-A2AD-9037-5822-A894880D08CF}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458be4737c64d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6BADF6-A2AD-9037-5822-A894880D08CF}">
            <x14:dataBar gradient="1">
              <x14:cfvo type="min"/>
              <x14:cfvo type="max"/>
              <x14:fillColor rgb="FF2A9D8F"/>
            </x14:dataBar>
          </x14:cfRule>
          <xm:sqref>G6:G19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52" hidden="0" customWidth="1"/>
    <x:col min="4" max="4" width="2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</x:cols>
  <x:sheetData>
    <x:row r="1" ht="34" customHeight="1">
      <x:c r="A1" s="3" t="str">
        <x:v>ZapNFe | Releases</x:v>
      </x:c>
      <x:c r="B1" s="3" t="str">
        <x:v>ZapNFe | Releases</x:v>
      </x:c>
      <x:c r="C1" s="3" t="str">
        <x:v>ZapNFe | Releases</x:v>
      </x:c>
      <x:c r="D1" s="3" t="str">
        <x:v>ZapNFe | Releases</x:v>
      </x:c>
      <x:c r="E1" s="3" t="str">
        <x:v>ZapNFe | Releases</x:v>
      </x:c>
      <x:c r="F1" s="3" t="str">
        <x:v>ZapNFe | Releases</x:v>
      </x:c>
      <x:c r="G1" s="3" t="str">
        <x:v>ZapNFe | Releases</x:v>
      </x:c>
      <x:c r="H1" s="3" t="str">
        <x:v>ZapNFe | Releases</x:v>
      </x:c>
    </x:row>
    <x:row r="2" ht="24" customHeight="1">
      <x:c r="A2" s="6" t="str">
        <x:v>Marcos do produto da fundação ao ERP vertical</x:v>
      </x:c>
      <x:c r="B2" s="6" t="str">
        <x:v>Marcos do produto da fundação ao ERP vertical</x:v>
      </x:c>
      <x:c r="C2" s="6" t="str">
        <x:v>Marcos do produto da fundação ao ERP vertical</x:v>
      </x:c>
      <x:c r="D2" s="6" t="str">
        <x:v>Marcos do produto da fundação ao ERP vertical</x:v>
      </x:c>
      <x:c r="E2" s="6" t="str">
        <x:v>Marcos do produto da fundação ao ERP vertical</x:v>
      </x:c>
      <x:c r="F2" s="6" t="str">
        <x:v>Marcos do produto da fundação ao ERP vertical</x:v>
      </x:c>
      <x:c r="G2" s="6" t="str">
        <x:v>Marcos do produto da fundação ao ERP vertical</x:v>
      </x:c>
      <x:c r="H2" s="6" t="str">
        <x:v>Marcos do produto da fundação ao ERP vertical</x:v>
      </x:c>
    </x:row>
    <x:row r="5">
      <x:c r="A5" t="str">
        <x:v>Release</x:v>
      </x:c>
      <x:c r="B5" t="str">
        <x:v>Sprints</x:v>
      </x:c>
      <x:c r="C5" t="str">
        <x:v>Resultado verificável</x:v>
      </x:c>
      <x:c r="D5" t="str">
        <x:v>Gates</x:v>
      </x:c>
      <x:c r="E5" t="str">
        <x:v>Issues</x:v>
      </x:c>
      <x:c r="F5" t="str">
        <x:v>SP</x:v>
      </x:c>
      <x:c r="G5" t="str">
        <x:v>Done</x:v>
      </x:c>
      <x:c r="H5" t="str">
        <x:v>Progresso</x:v>
      </x:c>
    </x:row>
    <x:row r="6" ht="46" customHeight="1">
      <x:c r="A6" s="8" t="str">
        <x:v>R0 — Fundação segura</x:v>
      </x:c>
      <x:c r="B6" s="9" t="str">
        <x:v>concluída</x:v>
      </x:c>
      <x:c r="C6" s="9" t="str">
        <x:v>UI, schema, webhook base, Gemini base, CI e segurança</x:v>
      </x:c>
      <x:c r="D6" s="9" t="str">
        <x:v>G0</x:v>
      </x:c>
      <x:c r="E6" s="8" t="n">
        <x:f>COUNTIF('Backlog'!$K$6:$K$139,LEFT(A6,2))</x:f>
        <x:v>7</x:v>
      </x:c>
      <x:c r="F6" s="8" t="n">
        <x:f>SUMIF('Backlog'!$K$6:$K$139,LEFT(A6,2),'Backlog'!$F$6:$F$139)</x:f>
        <x:v>35</x:v>
      </x:c>
      <x:c r="G6" s="8" t="n">
        <x:f>COUNTIFS('Backlog'!$K$6:$K$139,LEFT(A6,2),'Backlog'!$H$6:$H$139,"DONE")</x:f>
        <x:v>7</x:v>
      </x:c>
      <x:c r="H6" s="11" t="n">
        <x:f>IFERROR(G6/E6,0)</x:f>
        <x:v>1</x:v>
      </x:c>
    </x:row>
    <x:row r="7" ht="46" customHeight="1">
      <x:c r="A7" s="8" t="str">
        <x:v>R1 — Operação navegável</x:v>
      </x:c>
      <x:c r="B7" s="9" t="str">
        <x:v>1–2</x:v>
      </x:c>
      <x:c r="C7" s="9" t="str">
        <x:v>Login visual/mocks, produtos, clientes, pedidos e conferência navegáveis</x:v>
      </x:c>
      <x:c r="D7" s="9" t="str">
        <x:v>G0; validação real usa G1</x:v>
      </x:c>
      <x:c r="E7" s="8" t="n">
        <x:f>COUNTIF('Backlog'!$K$6:$K$139,LEFT(A7,2))</x:f>
        <x:v>41</x:v>
      </x:c>
      <x:c r="F7" s="8" t="n">
        <x:f>SUMIF('Backlog'!$K$6:$K$139,LEFT(A7,2),'Backlog'!$F$6:$F$139)</x:f>
        <x:v>222</x:v>
      </x:c>
      <x:c r="G7" s="8" t="n">
        <x:f>COUNTIFS('Backlog'!$K$6:$K$139,LEFT(A7,2),'Backlog'!$H$6:$H$139,"DONE")</x:f>
        <x:v>0</x:v>
      </x:c>
      <x:c r="H7" s="11" t="n">
        <x:f>IFERROR(G7/E7,0)</x:f>
        <x:v>0</x:v>
      </x:c>
    </x:row>
    <x:row r="8" ht="46" customHeight="1">
      <x:c r="A8" s="8" t="str">
        <x:v>R2 — WhatsApp para pré-pedido</x:v>
      </x:c>
      <x:c r="B8" s="9" t="str">
        <x:v>3–4</x:v>
      </x:c>
      <x:c r="C8" s="9" t="str">
        <x:v>Mensagem real cria pedido correto e isolado por empresa</x:v>
      </x:c>
      <x:c r="D8" s="9" t="str">
        <x:v>G1, G2, G3</x:v>
      </x:c>
      <x:c r="E8" s="8" t="n">
        <x:f>COUNTIF('Backlog'!$K$6:$K$139,LEFT(A8,2))</x:f>
        <x:v>22</x:v>
      </x:c>
      <x:c r="F8" s="8" t="n">
        <x:f>SUMIF('Backlog'!$K$6:$K$139,LEFT(A8,2),'Backlog'!$F$6:$F$139)</x:f>
        <x:v>128</x:v>
      </x:c>
      <x:c r="G8" s="8" t="n">
        <x:f>COUNTIFS('Backlog'!$K$6:$K$139,LEFT(A8,2),'Backlog'!$H$6:$H$139,"DONE")</x:f>
        <x:v>0</x:v>
      </x:c>
      <x:c r="H8" s="11" t="n">
        <x:f>IFERROR(G8/E8,0)</x:f>
        <x:v>0</x:v>
      </x:c>
    </x:row>
    <x:row r="9" ht="46" customHeight="1">
      <x:c r="A9" s="8" t="str">
        <x:v>R3 — Pedido para NF-e</x:v>
      </x:c>
      <x:c r="B9" s="9" t="str">
        <x:v>5–6</x:v>
      </x:c>
      <x:c r="C9" s="9" t="str">
        <x:v>Aprovação em homologação gera NF-e e registra DANFE/XML</x:v>
      </x:c>
      <x:c r="D9" s="9" t="str">
        <x:v>G1, G4, G5</x:v>
      </x:c>
      <x:c r="E9" s="8" t="n">
        <x:f>COUNTIF('Backlog'!$K$6:$K$139,LEFT(A9,2))</x:f>
        <x:v>21</x:v>
      </x:c>
      <x:c r="F9" s="8" t="n">
        <x:f>SUMIF('Backlog'!$K$6:$K$139,LEFT(A9,2),'Backlog'!$F$6:$F$139)</x:f>
        <x:v>148</x:v>
      </x:c>
      <x:c r="G9" s="8" t="n">
        <x:f>COUNTIFS('Backlog'!$K$6:$K$139,LEFT(A9,2),'Backlog'!$H$6:$H$139,"DONE")</x:f>
        <x:v>0</x:v>
      </x:c>
      <x:c r="H9" s="11" t="n">
        <x:f>IFERROR(G9/E9,0)</x:f>
        <x:v>0</x:v>
      </x:c>
    </x:row>
    <x:row r="10" ht="46" customHeight="1">
      <x:c r="A10" s="8" t="str">
        <x:v>R4 — Piloto assistido</x:v>
      </x:c>
      <x:c r="B10" s="9" t="str">
        <x:v>7–8</x:v>
      </x:c>
      <x:c r="C10" s="9" t="str">
        <x:v>2 empresas operam com métricas, alertas e suporte</x:v>
      </x:c>
      <x:c r="D10" s="9" t="str">
        <x:v>G1–G6</x:v>
      </x:c>
      <x:c r="E10" s="8" t="n">
        <x:f>COUNTIF('Backlog'!$K$6:$K$139,LEFT(A10,2))</x:f>
        <x:v>8</x:v>
      </x:c>
      <x:c r="F10" s="8" t="n">
        <x:f>SUMIF('Backlog'!$K$6:$K$139,LEFT(A10,2),'Backlog'!$F$6:$F$139)</x:f>
        <x:v>36</x:v>
      </x:c>
      <x:c r="G10" s="8" t="n">
        <x:f>COUNTIFS('Backlog'!$K$6:$K$139,LEFT(A10,2),'Backlog'!$H$6:$H$139,"DONE")</x:f>
        <x:v>0</x:v>
      </x:c>
      <x:c r="H10" s="11" t="n">
        <x:f>IFERROR(G10/E10,0)</x:f>
        <x:v>0</x:v>
      </x:c>
    </x:row>
    <x:row r="11" ht="46" customHeight="1">
      <x:c r="A11" s="8" t="str">
        <x:v>R5 — MVP comercial</x:v>
      </x:c>
      <x:c r="B11" s="9" t="str">
        <x:v>9–10</x:v>
      </x:c>
      <x:c r="C11" s="9" t="str">
        <x:v>5–10 empresas, onboarding repetível e critérios de produção atendidos</x:v>
      </x:c>
      <x:c r="D11" s="9" t="str">
        <x:v>revisão Meta, fiscal, segurança e jurídica</x:v>
      </x:c>
      <x:c r="E11" s="8" t="n">
        <x:f>COUNTIF('Backlog'!$K$6:$K$139,LEFT(A11,2))</x:f>
        <x:v>0</x:v>
      </x:c>
      <x:c r="F11" s="8" t="n">
        <x:f>SUMIF('Backlog'!$K$6:$K$139,LEFT(A11,2),'Backlog'!$F$6:$F$139)</x:f>
        <x:v>0</x:v>
      </x:c>
      <x:c r="G11" s="8" t="n">
        <x:f>COUNTIFS('Backlog'!$K$6:$K$139,LEFT(A11,2),'Backlog'!$H$6:$H$139,"DONE")</x:f>
        <x:v>0</x:v>
      </x:c>
      <x:c r="H11" s="11" t="n">
        <x:f>IFERROR(G11/E11,0)</x:f>
        <x:v>0</x:v>
      </x:c>
    </x:row>
    <x:row r="12" ht="46" customHeight="1">
      <x:c r="A12" s="8" t="str">
        <x:v>R6 — Expansão validada</x:v>
      </x:c>
      <x:c r="B12" s="9" t="str">
        <x:v>após receita</x:v>
      </x:c>
      <x:c r="C12" s="9" t="str">
        <x:v>Próximo módulo escolhido por evidência dos pilotos</x:v>
      </x:c>
      <x:c r="D12" s="9" t="str">
        <x:v>demanda comprovada</x:v>
      </x:c>
      <x:c r="E12" s="8" t="n">
        <x:f>COUNTIF('Backlog'!$K$6:$K$139,LEFT(A12,2))</x:f>
        <x:v>7</x:v>
      </x:c>
      <x:c r="F12" s="8" t="n">
        <x:f>SUMIF('Backlog'!$K$6:$K$139,LEFT(A12,2),'Backlog'!$F$6:$F$139)</x:f>
        <x:v>0</x:v>
      </x:c>
      <x:c r="G12" s="8" t="n">
        <x:f>COUNTIFS('Backlog'!$K$6:$K$139,LEFT(A12,2),'Backlog'!$H$6:$H$139,"DONE")</x:f>
        <x:v>0</x:v>
      </x:c>
      <x:c r="H12" s="11" t="n">
        <x:f>IFERROR(G12/E12,0)</x:f>
        <x:v>0</x:v>
      </x:c>
    </x:row>
  </x:sheetData>
  <x:mergeCells>
    <x:mergeCell ref="A1:H1"/>
    <x:mergeCell ref="A2:H2"/>
  </x:mergeCells>
  <x:conditionalFormatting sqref="H6:H12">
    <x:cfRule type="dataBar" priority="1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{391EAF15-439E-0113-6E18-E1358F863174}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7cc902c99c647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1EAF15-439E-0113-6E18-E1358F863174}">
            <x14:dataBar gradient="1">
              <x14:cfvo type="min"/>
              <x14:cfvo type="max"/>
              <x14:fillColor rgb="FF2A9D8F"/>
            </x14:dataBar>
          </x14:cfRule>
          <xm:sqref>H6:H12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36" hidden="0" customWidth="1"/>
  </x:cols>
  <x:sheetData>
    <x:row r="1" ht="34" customHeight="1">
      <x:c r="A1" s="3" t="str">
        <x:v>ZapNFe | Planejamento de Sprints</x:v>
      </x:c>
      <x:c r="B1" s="3" t="str">
        <x:v>ZapNFe | Planejamento de Sprints</x:v>
      </x:c>
      <x:c r="C1" s="3" t="str">
        <x:v>ZapNFe | Planejamento de Sprints</x:v>
      </x:c>
      <x:c r="D1" s="3" t="str">
        <x:v>ZapNFe | Planejamento de Sprints</x:v>
      </x:c>
      <x:c r="E1" s="3" t="str">
        <x:v>ZapNFe | Planejamento de Sprints</x:v>
      </x:c>
      <x:c r="F1" s="3" t="str">
        <x:v>ZapNFe | Planejamento de Sprints</x:v>
      </x:c>
      <x:c r="G1" s="3" t="str">
        <x:v>ZapNFe | Planejamento de Sprints</x:v>
      </x:c>
      <x:c r="H1" s="3" t="str">
        <x:v>ZapNFe | Planejamento de Sprints</x:v>
      </x:c>
      <x:c r="I1" s="3" t="str">
        <x:v>ZapNFe | Planejamento de Sprints</x:v>
      </x:c>
      <x:c r="J1" s="3" t="str">
        <x:v>ZapNFe | Planejamento de Sprints</x:v>
      </x:c>
      <x:c r="K1" s="3" t="str">
        <x:v>ZapNFe | Planejamento de Sprints</x:v>
      </x:c>
    </x:row>
    <x:row r="2" ht="24" customHeight="1">
      <x:c r="A2" s="6" t="str">
        <x:v>Datas e capacidade são editáveis; a carga é calculada a partir do Backlog</x:v>
      </x:c>
      <x:c r="B2" s="6" t="str">
        <x:v>Datas e capacidade são editáveis; a carga é calculada a partir do Backlog</x:v>
      </x:c>
      <x:c r="C2" s="6" t="str">
        <x:v>Datas e capacidade são editáveis; a carga é calculada a partir do Backlog</x:v>
      </x:c>
      <x:c r="D2" s="6" t="str">
        <x:v>Datas e capacidade são editáveis; a carga é calculada a partir do Backlog</x:v>
      </x:c>
      <x:c r="E2" s="6" t="str">
        <x:v>Datas e capacidade são editáveis; a carga é calculada a partir do Backlog</x:v>
      </x:c>
      <x:c r="F2" s="6" t="str">
        <x:v>Datas e capacidade são editáveis; a carga é calculada a partir do Backlog</x:v>
      </x:c>
      <x:c r="G2" s="6" t="str">
        <x:v>Datas e capacidade são editáveis; a carga é calculada a partir do Backlog</x:v>
      </x:c>
      <x:c r="H2" s="6" t="str">
        <x:v>Datas e capacidade são editáveis; a carga é calculada a partir do Backlog</x:v>
      </x:c>
      <x:c r="I2" s="6" t="str">
        <x:v>Datas e capacidade são editáveis; a carga é calculada a partir do Backlog</x:v>
      </x:c>
      <x:c r="J2" s="6" t="str">
        <x:v>Datas e capacidade são editáveis; a carga é calculada a partir do Backlog</x:v>
      </x:c>
      <x:c r="K2" s="6" t="str">
        <x:v>Datas e capacidade são editáveis; a carga é calculada a partir do Backlog</x:v>
      </x:c>
    </x:row>
    <x:row r="5">
      <x:c r="A5" t="str">
        <x:v>Sprint</x:v>
      </x:c>
      <x:c r="B5" t="str">
        <x:v>Release</x:v>
      </x:c>
      <x:c r="C5" t="str">
        <x:v>Objetivo</x:v>
      </x:c>
      <x:c r="D5" t="str">
        <x:v>Gates</x:v>
      </x:c>
      <x:c r="E5" t="str">
        <x:v>Status</x:v>
      </x:c>
      <x:c r="F5" t="str">
        <x:v>Início</x:v>
      </x:c>
      <x:c r="G5" t="str">
        <x:v>Fim</x:v>
      </x:c>
      <x:c r="H5" t="str">
        <x:v>Capacidade SP</x:v>
      </x:c>
      <x:c r="I5" t="str">
        <x:v>Planejado SP</x:v>
      </x:c>
      <x:c r="J5" t="str">
        <x:v>Carga</x:v>
      </x:c>
      <x:c r="K5" t="str">
        <x:v>Observações</x:v>
      </x:c>
    </x:row>
    <x:row r="6" ht="44" customHeight="1">
      <x:c r="A6" s="8" t="str">
        <x:v>Sprint 1</x:v>
      </x:c>
      <x:c r="B6" s="8" t="str">
        <x:v>R1</x:v>
      </x:c>
      <x:c r="C6" s="9" t="str">
        <x:v>Produtos, clientes, pedidos e conferência navegáveis</x:v>
      </x:c>
      <x:c r="D6" s="9" t="str">
        <x:v>G0</x:v>
      </x:c>
      <x:c r="E6" s="9" t="str">
        <x:v>READY</x:v>
      </x:c>
      <x:c r="F6" s="12"/>
      <x:c r="G6" s="12"/>
      <x:c r="H6" s="8" t="n">
        <x:v>55</x:v>
      </x:c>
      <x:c r="I6" s="8" t="n">
        <x:f>SUMIF('Backlog'!$J$6:$J$139,"Sprint 1",'Backlog'!$F$6:$F$139)</x:f>
        <x:v>126</x:v>
      </x:c>
      <x:c r="J6" s="11" t="n">
        <x:f>IFERROR(I6/H6,0)</x:f>
        <x:v>2.290909090909091</x:v>
      </x:c>
      <x:c r="K6" s="9" t="str">
        <x:v>Pode começar sem chaves externas.</x:v>
      </x:c>
    </x:row>
    <x:row r="7" ht="44" customHeight="1">
      <x:c r="A7" s="8" t="str">
        <x:v>Sprint 2</x:v>
      </x:c>
      <x:c r="B7" s="8" t="str">
        <x:v>R1/R2</x:v>
      </x:c>
      <x:c r="C7" s="9" t="str">
        <x:v>Onboarding, extração testável e adaptador fiscal fake</x:v>
      </x:c>
      <x:c r="D7" s="9" t="str">
        <x:v>G0</x:v>
      </x:c>
      <x:c r="E7" s="9" t="str">
        <x:v>BACKLOG</x:v>
      </x:c>
      <x:c r="F7" s="12"/>
      <x:c r="G7" s="12"/>
      <x:c r="H7" s="8" t="n">
        <x:v>55</x:v>
      </x:c>
      <x:c r="I7" s="8" t="n">
        <x:f>SUMIF('Backlog'!$J$6:$J$139,"Sprint 2",'Backlog'!$F$6:$F$139)</x:f>
        <x:v>141</x:v>
      </x:c>
      <x:c r="J7" s="11" t="n">
        <x:f>IFERROR(I7/H7,0)</x:f>
        <x:v>2.5636363636363635</x:v>
      </x:c>
      <x:c r="K7" s="9" t="str">
        <x:v>Pode começar sem chaves externas.</x:v>
      </x:c>
    </x:row>
    <x:row r="8" ht="44" customHeight="1">
      <x:c r="A8" s="8" t="str">
        <x:v>Sprint 3</x:v>
      </x:c>
      <x:c r="B8" s="8" t="str">
        <x:v>R2</x:v>
      </x:c>
      <x:c r="C8" s="9" t="str">
        <x:v>Auth e dados reais; preparar integração WhatsApp</x:v>
      </x:c>
      <x:c r="D8" s="9" t="str">
        <x:v>G1/G2/G3</x:v>
      </x:c>
      <x:c r="E8" s="9" t="str">
        <x:v>BACKLOG</x:v>
      </x:c>
      <x:c r="F8" s="12"/>
      <x:c r="G8" s="12"/>
      <x:c r="H8" s="8" t="n">
        <x:v>45</x:v>
      </x:c>
      <x:c r="I8" s="8" t="n">
        <x:f>SUMIF('Backlog'!$J$6:$J$139,"Sprint 3",'Backlog'!$F$6:$F$139)</x:f>
        <x:v>0</x:v>
      </x:c>
      <x:c r="J8" s="11" t="n">
        <x:f>IFERROR(I8/H8,0)</x:f>
        <x:v>0</x:v>
      </x:c>
      <x:c r="K8" s="9" t="str">
        <x:v>Validar gates antes do compromisso.</x:v>
      </x:c>
    </x:row>
    <x:row r="9" ht="44" customHeight="1">
      <x:c r="A9" s="8" t="str">
        <x:v>Sprint 4</x:v>
      </x:c>
      <x:c r="B9" s="8" t="str">
        <x:v>R2</x:v>
      </x:c>
      <x:c r="C9" s="9" t="str">
        <x:v>Mensagem real cria pré-pedido isolado por empresa</x:v>
      </x:c>
      <x:c r="D9" s="9" t="str">
        <x:v>G1/G2/G3</x:v>
      </x:c>
      <x:c r="E9" s="9" t="str">
        <x:v>BACKLOG</x:v>
      </x:c>
      <x:c r="F9" s="12"/>
      <x:c r="G9" s="12"/>
      <x:c r="H9" s="8" t="n">
        <x:v>45</x:v>
      </x:c>
      <x:c r="I9" s="8" t="n">
        <x:f>SUMIF('Backlog'!$J$6:$J$139,"Sprint 4",'Backlog'!$F$6:$F$139)</x:f>
        <x:v>0</x:v>
      </x:c>
      <x:c r="J9" s="11" t="n">
        <x:f>IFERROR(I9/H9,0)</x:f>
        <x:v>0</x:v>
      </x:c>
      <x:c r="K9" s="9" t="str">
        <x:v>Validar gates antes do compromisso.</x:v>
      </x:c>
    </x:row>
    <x:row r="10" ht="44" customHeight="1">
      <x:c r="A10" s="8" t="str">
        <x:v>Sprint 5</x:v>
      </x:c>
      <x:c r="B10" s="8" t="str">
        <x:v>R3</x:v>
      </x:c>
      <x:c r="C10" s="9" t="str">
        <x:v>Cadastro fiscal, A1 e emissão Focus em homologação</x:v>
      </x:c>
      <x:c r="D10" s="9" t="str">
        <x:v>G1/G4/G5</x:v>
      </x:c>
      <x:c r="E10" s="9" t="str">
        <x:v>BACKLOG</x:v>
      </x:c>
      <x:c r="F10" s="12"/>
      <x:c r="G10" s="12"/>
      <x:c r="H10" s="8" t="n">
        <x:v>45</x:v>
      </x:c>
      <x:c r="I10" s="8" t="n">
        <x:f>SUMIF('Backlog'!$J$6:$J$139,"Sprint 5",'Backlog'!$F$6:$F$139)</x:f>
        <x:v>0</x:v>
      </x:c>
      <x:c r="J10" s="11" t="n">
        <x:f>IFERROR(I10/H10,0)</x:f>
        <x:v>0</x:v>
      </x:c>
      <x:c r="K10" s="9" t="str">
        <x:v>Validar gates antes do compromisso.</x:v>
      </x:c>
    </x:row>
    <x:row r="11" ht="44" customHeight="1">
      <x:c r="A11" s="8" t="str">
        <x:v>Sprint 6</x:v>
      </x:c>
      <x:c r="B11" s="8" t="str">
        <x:v>R3</x:v>
      </x:c>
      <x:c r="C11" s="9" t="str">
        <x:v>Webhook fiscal e entrega DANFE/XML</x:v>
      </x:c>
      <x:c r="D11" s="9" t="str">
        <x:v>G1/G3/G4/G5</x:v>
      </x:c>
      <x:c r="E11" s="9" t="str">
        <x:v>BACKLOG</x:v>
      </x:c>
      <x:c r="F11" s="12"/>
      <x:c r="G11" s="12"/>
      <x:c r="H11" s="8" t="n">
        <x:v>45</x:v>
      </x:c>
      <x:c r="I11" s="8" t="n">
        <x:f>SUMIF('Backlog'!$J$6:$J$139,"Sprint 6",'Backlog'!$F$6:$F$139)</x:f>
        <x:v>0</x:v>
      </x:c>
      <x:c r="J11" s="11" t="n">
        <x:f>IFERROR(I11/H11,0)</x:f>
        <x:v>0</x:v>
      </x:c>
      <x:c r="K11" s="9" t="str">
        <x:v>Validar gates antes do compromisso.</x:v>
      </x:c>
    </x:row>
    <x:row r="12" ht="44" customHeight="1">
      <x:c r="A12" s="8" t="str">
        <x:v>Sprint 7</x:v>
      </x:c>
      <x:c r="B12" s="8" t="str">
        <x:v>R4</x:v>
      </x:c>
      <x:c r="C12" s="9" t="str">
        <x:v>Piloto com empresa 1, observabilidade e suporte</x:v>
      </x:c>
      <x:c r="D12" s="9" t="str">
        <x:v>G1–G6</x:v>
      </x:c>
      <x:c r="E12" s="9" t="str">
        <x:v>BACKLOG</x:v>
      </x:c>
      <x:c r="F12" s="12"/>
      <x:c r="G12" s="12"/>
      <x:c r="H12" s="8" t="n">
        <x:v>40</x:v>
      </x:c>
      <x:c r="I12" s="8" t="n">
        <x:f>SUMIF('Backlog'!$J$6:$J$139,"Sprint 7",'Backlog'!$F$6:$F$139)</x:f>
        <x:v>0</x:v>
      </x:c>
      <x:c r="J12" s="11" t="n">
        <x:f>IFERROR(I12/H12,0)</x:f>
        <x:v>0</x:v>
      </x:c>
      <x:c r="K12" s="9" t="str">
        <x:v>Validar gates antes do compromisso.</x:v>
      </x:c>
    </x:row>
    <x:row r="13" ht="44" customHeight="1">
      <x:c r="A13" s="8" t="str">
        <x:v>Sprint 8</x:v>
      </x:c>
      <x:c r="B13" s="8" t="str">
        <x:v>R4</x:v>
      </x:c>
      <x:c r="C13" s="9" t="str">
        <x:v>Piloto com empresa 2 e estabilização</x:v>
      </x:c>
      <x:c r="D13" s="9" t="str">
        <x:v>G1–G6</x:v>
      </x:c>
      <x:c r="E13" s="9" t="str">
        <x:v>BACKLOG</x:v>
      </x:c>
      <x:c r="F13" s="12"/>
      <x:c r="G13" s="12"/>
      <x:c r="H13" s="8" t="n">
        <x:v>40</x:v>
      </x:c>
      <x:c r="I13" s="8" t="n">
        <x:f>SUMIF('Backlog'!$J$6:$J$139,"Sprint 8",'Backlog'!$F$6:$F$139)</x:f>
        <x:v>0</x:v>
      </x:c>
      <x:c r="J13" s="11" t="n">
        <x:f>IFERROR(I13/H13,0)</x:f>
        <x:v>0</x:v>
      </x:c>
      <x:c r="K13" s="9" t="str">
        <x:v>Validar gates antes do compromisso.</x:v>
      </x:c>
    </x:row>
    <x:row r="14" ht="44" customHeight="1">
      <x:c r="A14" s="8" t="str">
        <x:v>Sprint 9–10</x:v>
      </x:c>
      <x:c r="B14" s="8" t="str">
        <x:v>R5</x:v>
      </x:c>
      <x:c r="C14" s="9" t="str">
        <x:v>Escalar onboarding para 5–10 empresas</x:v>
      </x:c>
      <x:c r="D14" s="9" t="str">
        <x:v>G1–G6</x:v>
      </x:c>
      <x:c r="E14" s="9" t="str">
        <x:v>BACKLOG</x:v>
      </x:c>
      <x:c r="F14" s="12"/>
      <x:c r="G14" s="12"/>
      <x:c r="H14" s="8" t="n">
        <x:v>80</x:v>
      </x:c>
      <x:c r="I14" s="8" t="n">
        <x:f>SUMIF('Backlog'!$J$6:$J$139,"Sprint 9–10",'Backlog'!$F$6:$F$139)</x:f>
        <x:v>0</x:v>
      </x:c>
      <x:c r="J14" s="11" t="n">
        <x:f>IFERROR(I14/H14,0)</x:f>
        <x:v>0</x:v>
      </x:c>
      <x:c r="K14" s="9" t="str">
        <x:v>Validar gates antes do compromisso.</x:v>
      </x:c>
    </x:row>
  </x:sheetData>
  <x:mergeCells>
    <x:mergeCell ref="A1:K1"/>
    <x:mergeCell ref="A2:K2"/>
  </x:mergeCells>
  <x:conditionalFormatting sqref="J6:J14">
    <x:cfRule type="dataBar" priority="1">
      <x:dataBar>
        <x:cfvo type="min"/>
        <x:cfvo type="max"/>
        <x:color rgb="FFE9C46A"/>
      </x:dataBar>
      <x:extLst>
        <x:ext xmlns:x14="http://schemas.microsoft.com/office/spreadsheetml/2009/9/main" uri="{B025F937-C7B1-47D3-B67F-A62EFF666E3E}">
          <x14:id>{D0235664-56A6-3583-1CD8-6EBBEA18EF53}</x14:id>
        </x:ext>
      </x:extLst>
    </x:cfRule>
  </x:conditionalFormatting>
  <x:dataValidations count="1">
    <x:dataValidation type="list" sqref="E6:E14">
      <x:formula1>"BACKLOG,READY,IN PROGRESS,QA,BLOCKED,DONE"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0785ac715c45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0235664-56A6-3583-1CD8-6EBBEA18EF53}">
            <x14:dataBar gradient="1">
              <x14:cfvo type="min"/>
              <x14:cfvo type="max"/>
              <x14:fillColor rgb="FFE9C46A"/>
            </x14:dataBar>
          </x14:cfRule>
          <xm:sqref>J6:J14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44" hidden="0" customWidth="1"/>
    <x:col min="4" max="4" width="48" hidden="0" customWidth="1"/>
    <x:col min="5" max="5" width="18" hidden="0" customWidth="1"/>
    <x:col min="6" max="6" width="18" hidden="0" customWidth="1"/>
    <x:col min="7" max="7" width="14" hidden="0" customWidth="1"/>
    <x:col min="8" max="8" width="32" hidden="0" customWidth="1"/>
  </x:cols>
  <x:sheetData>
    <x:row r="1" ht="34" customHeight="1">
      <x:c r="A1" s="3" t="str">
        <x:v>ZapNFe | Gates Externos</x:v>
      </x:c>
      <x:c r="B1" s="3" t="str">
        <x:v>ZapNFe | Gates Externos</x:v>
      </x:c>
      <x:c r="C1" s="3" t="str">
        <x:v>ZapNFe | Gates Externos</x:v>
      </x:c>
      <x:c r="D1" s="3" t="str">
        <x:v>ZapNFe | Gates Externos</x:v>
      </x:c>
      <x:c r="E1" s="3" t="str">
        <x:v>ZapNFe | Gates Externos</x:v>
      </x:c>
      <x:c r="F1" s="3" t="str">
        <x:v>ZapNFe | Gates Externos</x:v>
      </x:c>
      <x:c r="G1" s="3" t="str">
        <x:v>ZapNFe | Gates Externos</x:v>
      </x:c>
      <x:c r="H1" s="3" t="str">
        <x:v>ZapNFe | Gates Externos</x:v>
      </x:c>
    </x:row>
    <x:row r="2" ht="24" customHeight="1">
      <x:c r="A2" s="6" t="str">
        <x:v>Nenhuma credencial deve ser enviada por chat ou versionada no Git</x:v>
      </x:c>
      <x:c r="B2" s="6" t="str">
        <x:v>Nenhuma credencial deve ser enviada por chat ou versionada no Git</x:v>
      </x:c>
      <x:c r="C2" s="6" t="str">
        <x:v>Nenhuma credencial deve ser enviada por chat ou versionada no Git</x:v>
      </x:c>
      <x:c r="D2" s="6" t="str">
        <x:v>Nenhuma credencial deve ser enviada por chat ou versionada no Git</x:v>
      </x:c>
      <x:c r="E2" s="6" t="str">
        <x:v>Nenhuma credencial deve ser enviada por chat ou versionada no Git</x:v>
      </x:c>
      <x:c r="F2" s="6" t="str">
        <x:v>Nenhuma credencial deve ser enviada por chat ou versionada no Git</x:v>
      </x:c>
      <x:c r="G2" s="6" t="str">
        <x:v>Nenhuma credencial deve ser enviada por chat ou versionada no Git</x:v>
      </x:c>
      <x:c r="H2" s="6" t="str">
        <x:v>Nenhuma credencial deve ser enviada por chat ou versionada no Git</x:v>
      </x:c>
    </x:row>
    <x:row r="5">
      <x:c r="A5" t="str">
        <x:v>Gate</x:v>
      </x:c>
      <x:c r="B5" t="str">
        <x:v>Dependência</x:v>
      </x:c>
      <x:c r="C5" t="str">
        <x:v>Libera</x:v>
      </x:c>
      <x:c r="D5" t="str">
        <x:v>Fornecimento seguro</x:v>
      </x:c>
      <x:c r="E5" t="str">
        <x:v>Status</x:v>
      </x:c>
      <x:c r="F5" t="str">
        <x:v>Responsável</x:v>
      </x:c>
      <x:c r="G5" t="str">
        <x:v>Data alvo</x:v>
      </x:c>
      <x:c r="H5" t="str">
        <x:v>Evidência</x:v>
      </x:c>
    </x:row>
    <x:row r="6" ht="50" customHeight="1">
      <x:c r="A6" s="8" t="str">
        <x:v>G0</x:v>
      </x:c>
      <x:c r="B6" s="9" t="str">
        <x:v>Nenhuma chave</x:v>
      </x:c>
      <x:c r="C6" s="9" t="str">
        <x:v>UI, domínio, mocks, migrations, testes, documentação e CI</x:v>
      </x:c>
      <x:c r="D6" s="9" t="str">
        <x:v>Já disponível</x:v>
      </x:c>
      <x:c r="E6" s="8" t="str">
        <x:v>DISPONÍVEL</x:v>
      </x:c>
      <x:c r="F6" s="8" t="str">
        <x:v>Não atribuído</x:v>
      </x:c>
      <x:c r="G6" s="12"/>
      <x:c r="H6" s="9" t="str"/>
    </x:row>
    <x:row r="7" ht="50" customHeight="1">
      <x:c r="A7" s="8" t="str">
        <x:v>G1</x:v>
      </x:c>
      <x:c r="B7" s="9" t="str">
        <x:v>Supabase URL, publishable key e secret/service role</x:v>
      </x:c>
      <x:c r="C7" s="9" t="str">
        <x:v>Auth, CRUD real, RLS e webhook persistido</x:v>
      </x:c>
      <x:c r="D7" s="9" t="str">
        <x:v>Configurar diretamente em ambiente local/Vercel</x:v>
      </x:c>
      <x:c r="E7" s="8" t="str">
        <x:v>PENDENTE</x:v>
      </x:c>
      <x:c r="F7" s="8" t="str">
        <x:v>Não atribuído</x:v>
      </x:c>
      <x:c r="G7" s="12"/>
      <x:c r="H7" s="9" t="str"/>
    </x:row>
    <x:row r="8" ht="50" customHeight="1">
      <x:c r="A8" s="8" t="str">
        <x:v>G2</x:v>
      </x:c>
      <x:c r="B8" s="9" t="str">
        <x:v>Gemini API key</x:v>
      </x:c>
      <x:c r="C8" s="9" t="str">
        <x:v>Extração real e avaliação de qualidade</x:v>
      </x:c>
      <x:c r="D8" s="9" t="str">
        <x:v>Configurar como secret no servidor</x:v>
      </x:c>
      <x:c r="E8" s="8" t="str">
        <x:v>PENDENTE</x:v>
      </x:c>
      <x:c r="F8" s="8" t="str">
        <x:v>Não atribuído</x:v>
      </x:c>
      <x:c r="G8" s="12"/>
      <x:c r="H8" s="9" t="str"/>
    </x:row>
    <x:row r="9" ht="50" customHeight="1">
      <x:c r="A9" s="8" t="str">
        <x:v>G3</x:v>
      </x:c>
      <x:c r="B9" s="9" t="str">
        <x:v>Meta App, App Secret, verify token, token/WABA/phone ID</x:v>
      </x:c>
      <x:c r="C9" s="9" t="str">
        <x:v>Webhook e envio real pelo WhatsApp</x:v>
      </x:c>
      <x:c r="D9" s="9" t="str">
        <x:v>Configurar no painel/ambiente; nunca no chat ou Git</x:v>
      </x:c>
      <x:c r="E9" s="8" t="str">
        <x:v>PENDENTE</x:v>
      </x:c>
      <x:c r="F9" s="8" t="str">
        <x:v>Não atribuído</x:v>
      </x:c>
      <x:c r="G9" s="12"/>
      <x:c r="H9" s="9" t="str"/>
    </x:row>
    <x:row r="10" ht="50" customHeight="1">
      <x:c r="A10" s="8" t="str">
        <x:v>G4</x:v>
      </x:c>
      <x:c r="B10" s="9" t="str">
        <x:v>Focus NFe token de homologação</x:v>
      </x:c>
      <x:c r="C10" s="9" t="str">
        <x:v>Emissão, consulta, webhook fiscal e documentos</x:v>
      </x:c>
      <x:c r="D10" s="9" t="str">
        <x:v>Configurar apenas no servidor</x:v>
      </x:c>
      <x:c r="E10" s="8" t="str">
        <x:v>PENDENTE</x:v>
      </x:c>
      <x:c r="F10" s="8" t="str">
        <x:v>Não atribuído</x:v>
      </x:c>
      <x:c r="G10" s="12"/>
      <x:c r="H10" s="9" t="str"/>
    </x:row>
    <x:row r="11" ht="50" customHeight="1">
      <x:c r="A11" s="8" t="str">
        <x:v>G5</x:v>
      </x:c>
      <x:c r="B11" s="9" t="str">
        <x:v>Certificado A1 de empresa piloto e respectiva senha</x:v>
      </x:c>
      <x:c r="C11" s="9" t="str">
        <x:v>Emissão fiscal da empresa</x:v>
      </x:c>
      <x:c r="D11" s="9" t="str">
        <x:v>Upload autenticado; nunca enviar por chat ou Git</x:v>
      </x:c>
      <x:c r="E11" s="8" t="str">
        <x:v>PENDENTE</x:v>
      </x:c>
      <x:c r="F11" s="8" t="str">
        <x:v>Não atribuído</x:v>
      </x:c>
      <x:c r="G11" s="12"/>
      <x:c r="H11" s="9" t="str"/>
    </x:row>
    <x:row r="12" ht="50" customHeight="1">
      <x:c r="A12" s="8" t="str">
        <x:v>G6</x:v>
      </x:c>
      <x:c r="B12" s="9" t="str">
        <x:v>Razão social, CNPJ e contato de privacidade do controlador</x:v>
      </x:c>
      <x:c r="C12" s="9" t="str">
        <x:v>Textos públicos e App Review</x:v>
      </x:c>
      <x:c r="D12" s="9" t="str">
        <x:v>Dados empresariais, sem credenciais</x:v>
      </x:c>
      <x:c r="E12" s="8" t="str">
        <x:v>PENDENTE</x:v>
      </x:c>
      <x:c r="F12" s="8" t="str">
        <x:v>Não atribuído</x:v>
      </x:c>
      <x:c r="G12" s="12"/>
      <x:c r="H12" s="9" t="str"/>
    </x:row>
  </x:sheetData>
  <x:mergeCells>
    <x:mergeCell ref="A1:H1"/>
    <x:mergeCell ref="A2:H2"/>
  </x:mergeCells>
  <x:conditionalFormatting sqref="E6:E12">
    <x:cfRule type="containsText" dxfId="9" priority="1" operator="containsText" text="VALIDADO"/>
    <x:cfRule type="containsText" dxfId="10" priority="2" operator="containsText" text="DISPONÍVEL"/>
    <x:cfRule type="containsText" dxfId="11" priority="3" operator="containsText" text="BLOQUEADO"/>
  </x:conditionalFormatting>
  <x:dataValidations count="2">
    <x:dataValidation type="list" sqref="E6:E12">
      <x:formula1>"PENDENTE,EM CONFIGURAÇÃO,DISPONÍVEL,VALIDADO,BLOQUEADO"</x:formula1>
    </x:dataValidation>
    <x:dataValidation type="list" sqref="F6:F12">
      <x:formula1>"Não atribuído,Guthierre,Codex,Fiscal,Jurídico,Cliente piloto"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c1faaf92444e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56" hidden="0" customWidth="1"/>
    <x:col min="8" max="8" width="18" hidden="0" customWidth="1"/>
    <x:col min="9" max="9" width="14" hidden="0" customWidth="1"/>
  </x:cols>
  <x:sheetData>
    <x:row r="1" ht="34" customHeight="1">
      <x:c r="A1" s="3" t="str">
        <x:v>ZapNFe | Registro de Riscos</x:v>
      </x:c>
      <x:c r="B1" s="3" t="str">
        <x:v>ZapNFe | Registro de Riscos</x:v>
      </x:c>
      <x:c r="C1" s="3" t="str">
        <x:v>ZapNFe | Registro de Riscos</x:v>
      </x:c>
      <x:c r="D1" s="3" t="str">
        <x:v>ZapNFe | Registro de Riscos</x:v>
      </x:c>
      <x:c r="E1" s="3" t="str">
        <x:v>ZapNFe | Registro de Riscos</x:v>
      </x:c>
      <x:c r="F1" s="3" t="str">
        <x:v>ZapNFe | Registro de Riscos</x:v>
      </x:c>
      <x:c r="G1" s="3" t="str">
        <x:v>ZapNFe | Registro de Riscos</x:v>
      </x:c>
      <x:c r="H1" s="3" t="str">
        <x:v>ZapNFe | Registro de Riscos</x:v>
      </x:c>
      <x:c r="I1" s="3" t="str">
        <x:v>ZapNFe | Registro de Riscos</x:v>
      </x:c>
    </x:row>
    <x:row r="2" ht="24" customHeight="1">
      <x:c r="A2" s="6" t="str">
        <x:v>Score = probabilidade × impacto; priorize riscos críticos do caminho principal</x:v>
      </x:c>
      <x:c r="B2" s="6" t="str">
        <x:v>Score = probabilidade × impacto; priorize riscos críticos do caminho principal</x:v>
      </x:c>
      <x:c r="C2" s="6" t="str">
        <x:v>Score = probabilidade × impacto; priorize riscos críticos do caminho principal</x:v>
      </x:c>
      <x:c r="D2" s="6" t="str">
        <x:v>Score = probabilidade × impacto; priorize riscos críticos do caminho principal</x:v>
      </x:c>
      <x:c r="E2" s="6" t="str">
        <x:v>Score = probabilidade × impacto; priorize riscos críticos do caminho principal</x:v>
      </x:c>
      <x:c r="F2" s="6" t="str">
        <x:v>Score = probabilidade × impacto; priorize riscos críticos do caminho principal</x:v>
      </x:c>
      <x:c r="G2" s="6" t="str">
        <x:v>Score = probabilidade × impacto; priorize riscos críticos do caminho principal</x:v>
      </x:c>
      <x:c r="H2" s="6" t="str">
        <x:v>Score = probabilidade × impacto; priorize riscos críticos do caminho principal</x:v>
      </x:c>
      <x:c r="I2" s="6" t="str">
        <x:v>Score = probabilidade × impacto; priorize riscos críticos do caminho principal</x:v>
      </x:c>
    </x:row>
    <x:row r="5">
      <x:c r="A5" t="str">
        <x:v>Risco</x:v>
      </x:c>
      <x:c r="B5" t="str">
        <x:v>Probabilidade</x:v>
      </x:c>
      <x:c r="C5" t="str">
        <x:v>Impacto</x:v>
      </x:c>
      <x:c r="D5" t="str">
        <x:v>P score</x:v>
      </x:c>
      <x:c r="E5" t="str">
        <x:v>I score</x:v>
      </x:c>
      <x:c r="F5" t="str">
        <x:v>Score</x:v>
      </x:c>
      <x:c r="G5" t="str">
        <x:v>Mitigação</x:v>
      </x:c>
      <x:c r="H5" t="str">
        <x:v>Responsável</x:v>
      </x:c>
      <x:c r="I5" t="str">
        <x:v>Status</x:v>
      </x:c>
    </x:row>
    <x:row r="6" ht="48" customHeight="1">
      <x:c r="A6" s="9" t="str">
        <x:v>Produto incorreto extraído pela IA</x:v>
      </x:c>
      <x:c r="B6" s="8" t="str">
        <x:v>média</x:v>
      </x:c>
      <x:c r="C6" s="8" t="str">
        <x:v>alto</x:v>
      </x:c>
      <x:c r="D6" s="8" t="n">
        <x:v>2</x:v>
      </x:c>
      <x:c r="E6" s="8" t="n">
        <x:v>3</x:v>
      </x:c>
      <x:c r="F6" s="8" t="n">
        <x:f>D6*E6</x:f>
        <x:v>6</x:v>
      </x:c>
      <x:c r="G6" s="9" t="str">
        <x:v>catálogo fechado, confiança, revisão humana e conjunto dourado</x:v>
      </x:c>
      <x:c r="H6" s="8" t="str">
        <x:v>Não atribuído</x:v>
      </x:c>
      <x:c r="I6" s="8" t="str">
        <x:v>ABERTO</x:v>
      </x:c>
    </x:row>
    <x:row r="7" ht="48" customHeight="1">
      <x:c r="A7" s="9" t="str">
        <x:v>Duplicidade por webhook/retry</x:v>
      </x:c>
      <x:c r="B7" s="8" t="str">
        <x:v>alta</x:v>
      </x:c>
      <x:c r="C7" s="8" t="str">
        <x:v>alto</x:v>
      </x:c>
      <x:c r="D7" s="8" t="n">
        <x:v>3</x:v>
      </x:c>
      <x:c r="E7" s="8" t="n">
        <x:v>3</x:v>
      </x:c>
      <x:c r="F7" s="8" t="n">
        <x:f>D7*E7</x:f>
        <x:v>9</x:v>
      </x:c>
      <x:c r="G7" s="9" t="str">
        <x:v>chaves idempotentes, fila e transações</x:v>
      </x:c>
      <x:c r="H7" s="8" t="str">
        <x:v>Não atribuído</x:v>
      </x:c>
      <x:c r="I7" s="8" t="str">
        <x:v>ABERTO</x:v>
      </x:c>
    </x:row>
    <x:row r="8" ht="48" customHeight="1">
      <x:c r="A8" s="9" t="str">
        <x:v>Vazamento entre empresas</x:v>
      </x:c>
      <x:c r="B8" s="8" t="str">
        <x:v>baixa/média</x:v>
      </x:c>
      <x:c r="C8" s="8" t="str">
        <x:v>crítico</x:v>
      </x:c>
      <x:c r="D8" s="8" t="n">
        <x:v>2</x:v>
      </x:c>
      <x:c r="E8" s="8" t="n">
        <x:v>4</x:v>
      </x:c>
      <x:c r="F8" s="8" t="n">
        <x:f>D8*E8</x:f>
        <x:v>8</x:v>
      </x:c>
      <x:c r="G8" s="9" t="str">
        <x:v>RLS, grants mínimos, testes com dois tenants e server auth</x:v>
      </x:c>
      <x:c r="H8" s="8" t="str">
        <x:v>Não atribuído</x:v>
      </x:c>
      <x:c r="I8" s="8" t="str">
        <x:v>ABERTO</x:v>
      </x:c>
    </x:row>
    <x:row r="9" ht="48" customHeight="1">
      <x:c r="A9" s="9" t="str">
        <x:v>Emissão fiscal duplicada</x:v>
      </x:c>
      <x:c r="B9" s="8" t="str">
        <x:v>média</x:v>
      </x:c>
      <x:c r="C9" s="8" t="str">
        <x:v>crítico</x:v>
      </x:c>
      <x:c r="D9" s="8" t="n">
        <x:v>2</x:v>
      </x:c>
      <x:c r="E9" s="8" t="n">
        <x:v>4</x:v>
      </x:c>
      <x:c r="F9" s="8" t="n">
        <x:f>D9*E9</x:f>
        <x:v>8</x:v>
      </x:c>
      <x:c r="G9" s="9" t="str">
        <x:v>referência única, lock, máquina de estados e reconciliação</x:v>
      </x:c>
      <x:c r="H9" s="8" t="str">
        <x:v>Não atribuído</x:v>
      </x:c>
      <x:c r="I9" s="8" t="str">
        <x:v>ABERTO</x:v>
      </x:c>
    </x:row>
    <x:row r="10" ht="48" customHeight="1">
      <x:c r="A10" s="9" t="str">
        <x:v>Custódia insegura do A1</x:v>
      </x:c>
      <x:c r="B10" s="8" t="str">
        <x:v>média</x:v>
      </x:c>
      <x:c r="C10" s="8" t="str">
        <x:v>crítico</x:v>
      </x:c>
      <x:c r="D10" s="8" t="n">
        <x:v>2</x:v>
      </x:c>
      <x:c r="E10" s="8" t="n">
        <x:v>4</x:v>
      </x:c>
      <x:c r="F10" s="8" t="n">
        <x:f>D10*E10</x:f>
        <x:v>8</x:v>
      </x:c>
      <x:c r="G10" s="9" t="str">
        <x:v>envio direto ao provedor ou criptografia temporária e auditoria</x:v>
      </x:c>
      <x:c r="H10" s="8" t="str">
        <x:v>Não atribuído</x:v>
      </x:c>
      <x:c r="I10" s="8" t="str">
        <x:v>ABERTO</x:v>
      </x:c>
    </x:row>
    <x:row r="11" ht="48" customHeight="1">
      <x:c r="A11" s="9" t="str">
        <x:v>Onboarding Meta complexo</x:v>
      </x:c>
      <x:c r="B11" s="8" t="str">
        <x:v>alta</x:v>
      </x:c>
      <x:c r="C11" s="8" t="str">
        <x:v>alto</x:v>
      </x:c>
      <x:c r="D11" s="8" t="n">
        <x:v>3</x:v>
      </x:c>
      <x:c r="E11" s="8" t="n">
        <x:v>3</x:v>
      </x:c>
      <x:c r="F11" s="8" t="n">
        <x:f>D11*E11</x:f>
        <x:v>9</x:v>
      </x:c>
      <x:c r="G11" s="9" t="str">
        <x:v>Embedded Signup simples, assistência e pesquisa de Coexistence</x:v>
      </x:c>
      <x:c r="H11" s="8" t="str">
        <x:v>Não atribuído</x:v>
      </x:c>
      <x:c r="I11" s="8" t="str">
        <x:v>ABERTO</x:v>
      </x:c>
    </x:row>
    <x:row r="12" ht="48" customHeight="1">
      <x:c r="A12" s="9" t="str">
        <x:v>Mudança de política/API externa</x:v>
      </x:c>
      <x:c r="B12" s="8" t="str">
        <x:v>média</x:v>
      </x:c>
      <x:c r="C12" s="8" t="str">
        <x:v>alto</x:v>
      </x:c>
      <x:c r="D12" s="8" t="n">
        <x:v>2</x:v>
      </x:c>
      <x:c r="E12" s="8" t="n">
        <x:v>3</x:v>
      </x:c>
      <x:c r="F12" s="8" t="n">
        <x:f>D12*E12</x:f>
        <x:v>6</x:v>
      </x:c>
      <x:c r="G12" s="9" t="str">
        <x:v>adaptadores, contract tests e revisão periódica</x:v>
      </x:c>
      <x:c r="H12" s="8" t="str">
        <x:v>Não atribuído</x:v>
      </x:c>
      <x:c r="I12" s="8" t="str">
        <x:v>ABERTO</x:v>
      </x:c>
    </x:row>
    <x:row r="13" ht="48" customHeight="1">
      <x:c r="A13" s="9" t="str">
        <x:v>Dependência de `after()` sem retentativa durável</x:v>
      </x:c>
      <x:c r="B13" s="8" t="str">
        <x:v>alta</x:v>
      </x:c>
      <x:c r="C13" s="8" t="str">
        <x:v>alto</x:v>
      </x:c>
      <x:c r="D13" s="8" t="n">
        <x:v>3</x:v>
      </x:c>
      <x:c r="E13" s="8" t="n">
        <x:v>3</x:v>
      </x:c>
      <x:c r="F13" s="8" t="n">
        <x:f>D13*E13</x:f>
        <x:v>9</x:v>
      </x:c>
      <x:c r="G13" s="9" t="str">
        <x:v>fila persistente e dead-letter antes do piloto</x:v>
      </x:c>
      <x:c r="H13" s="8" t="str">
        <x:v>Não atribuído</x:v>
      </x:c>
      <x:c r="I13" s="8" t="str">
        <x:v>ABERTO</x:v>
      </x:c>
    </x:row>
    <x:row r="14" ht="48" customHeight="1">
      <x:c r="A14" s="9" t="str">
        <x:v>Texto legal incompatível com a operação</x:v>
      </x:c>
      <x:c r="B14" s="8" t="str">
        <x:v>média</x:v>
      </x:c>
      <x:c r="C14" s="8" t="str">
        <x:v>alto</x:v>
      </x:c>
      <x:c r="D14" s="8" t="n">
        <x:v>2</x:v>
      </x:c>
      <x:c r="E14" s="8" t="n">
        <x:v>3</x:v>
      </x:c>
      <x:c r="F14" s="8" t="n">
        <x:f>D14*E14</x:f>
        <x:v>6</x:v>
      </x:c>
      <x:c r="G14" s="9" t="str">
        <x:v>inventário real de dados e revisão jurídica</x:v>
      </x:c>
      <x:c r="H14" s="8" t="str">
        <x:v>Não atribuído</x:v>
      </x:c>
      <x:c r="I14" s="8" t="str">
        <x:v>ABERTO</x:v>
      </x:c>
    </x:row>
    <x:row r="15" ht="48" customHeight="1">
      <x:c r="A15" s="9" t="str">
        <x:v>Construção prematura de ERP</x:v>
      </x:c>
      <x:c r="B15" s="8" t="str">
        <x:v>alta</x:v>
      </x:c>
      <x:c r="C15" s="8" t="str">
        <x:v>médio</x:v>
      </x:c>
      <x:c r="D15" s="8" t="n">
        <x:v>3</x:v>
      </x:c>
      <x:c r="E15" s="8" t="n">
        <x:v>2</x:v>
      </x:c>
      <x:c r="F15" s="8" t="n">
        <x:f>D15*E15</x:f>
        <x:v>6</x:v>
      </x:c>
      <x:c r="G15" s="9" t="str">
        <x:v>gates de evidência e backlog ICEBOX</x:v>
      </x:c>
      <x:c r="H15" s="8" t="str">
        <x:v>Não atribuído</x:v>
      </x:c>
      <x:c r="I15" s="8" t="str">
        <x:v>ABERTO</x:v>
      </x:c>
    </x:row>
  </x:sheetData>
  <x:mergeCells>
    <x:mergeCell ref="A1:I1"/>
    <x:mergeCell ref="A2:I2"/>
  </x:mergeCells>
  <x:conditionalFormatting sqref="F6:F15">
    <x:cfRule type="colorScale" priority="1">
      <x:colorScale>
        <x:cfvo type="min"/>
        <x:cfvo type="percentile" val="50"/>
        <x:cfvo type="max"/>
        <x:color rgb="FFDDF3E9"/>
        <x:color rgb="FFFFF0C7"/>
        <x:color rgb="FFF7DADA"/>
      </x:colorScale>
    </x:cfRule>
  </x:conditionalFormatting>
  <x:dataValidations count="2">
    <x:dataValidation type="list" sqref="H6:H15">
      <x:formula1>"Não atribuído,Guthierre,Codex,Fiscal,Jurídico,Cliente piloto"</x:formula1>
    </x:dataValidation>
    <x:dataValidation type="list" sqref="I6:I15">
      <x:formula1>"ABERTO,MITIGANDO,ACEITO,RESOLVIDO"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4d2ce63c3942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78" hidden="0" customWidth="1"/>
    <x:col min="4" max="4" width="32" hidden="0" customWidth="1"/>
  </x:cols>
  <x:sheetData>
    <x:row r="1" ht="34" customHeight="1">
      <x:c r="A1" s="3" t="str">
        <x:v>ZapNFe | Critérios de Qualidade</x:v>
      </x:c>
      <x:c r="B1" s="3" t="str">
        <x:v>ZapNFe | Critérios de Qualidade</x:v>
      </x:c>
      <x:c r="C1" s="3" t="str">
        <x:v>ZapNFe | Critérios de Qualidade</x:v>
      </x:c>
      <x:c r="D1" s="3" t="str">
        <x:v>ZapNFe | Critérios de Qualidade</x:v>
      </x:c>
    </x:row>
    <x:row r="2" ht="24" customHeight="1">
      <x:c r="A2" s="6" t="str">
        <x:v>Definition of Ready, Definition of Done, saída do MVP e aceite dos épicos</x:v>
      </x:c>
      <x:c r="B2" s="6" t="str">
        <x:v>Definition of Ready, Definition of Done, saída do MVP e aceite dos épicos</x:v>
      </x:c>
      <x:c r="C2" s="6" t="str">
        <x:v>Definition of Ready, Definition of Done, saída do MVP e aceite dos épicos</x:v>
      </x:c>
      <x:c r="D2" s="6" t="str">
        <x:v>Definition of Ready, Definition of Done, saída do MVP e aceite dos épicos</x:v>
      </x:c>
    </x:row>
    <x:row r="5">
      <x:c r="A5" t="str">
        <x:v>Categoria</x:v>
      </x:c>
      <x:c r="B5" t="str">
        <x:v>ID</x:v>
      </x:c>
      <x:c r="C5" t="str">
        <x:v>Critério</x:v>
      </x:c>
      <x:c r="D5" t="str">
        <x:v>Momento de verificação</x:v>
      </x:c>
    </x:row>
    <x:row r="6" ht="40" customHeight="1">
      <x:c r="A6" s="8" t="str">
        <x:v>Definition of Ready</x:v>
      </x:c>
      <x:c r="B6" s="8" t="str">
        <x:v>DoR-1</x:v>
      </x:c>
      <x:c r="C6" s="9" t="str">
        <x:v>problema, usuário e resultado esperado estão claros;</x:v>
      </x:c>
      <x:c r="D6" s="9" t="str">
        <x:v>Antes de mover para READY</x:v>
      </x:c>
    </x:row>
    <x:row r="7" ht="40" customHeight="1">
      <x:c r="A7" s="8" t="str">
        <x:v>Definition of Ready</x:v>
      </x:c>
      <x:c r="B7" s="8" t="str">
        <x:v>DoR-2</x:v>
      </x:c>
      <x:c r="C7" s="9" t="str">
        <x:v>critérios de aceite são testáveis;</x:v>
      </x:c>
      <x:c r="D7" s="9" t="str">
        <x:v>Antes de mover para READY</x:v>
      </x:c>
    </x:row>
    <x:row r="8" ht="40" customHeight="1">
      <x:c r="A8" s="8" t="str">
        <x:v>Definition of Ready</x:v>
      </x:c>
      <x:c r="B8" s="8" t="str">
        <x:v>DoR-3</x:v>
      </x:c>
      <x:c r="C8" s="9" t="str">
        <x:v>dependências e gates estão identificados;</x:v>
      </x:c>
      <x:c r="D8" s="9" t="str">
        <x:v>Antes de mover para READY</x:v>
      </x:c>
    </x:row>
    <x:row r="9" ht="40" customHeight="1">
      <x:c r="A9" s="8" t="str">
        <x:v>Definition of Ready</x:v>
      </x:c>
      <x:c r="B9" s="8" t="str">
        <x:v>DoR-4</x:v>
      </x:c>
      <x:c r="C9" s="9" t="str">
        <x:v>design ou contrato necessário está disponível;</x:v>
      </x:c>
      <x:c r="D9" s="9" t="str">
        <x:v>Antes de mover para READY</x:v>
      </x:c>
    </x:row>
    <x:row r="10" ht="40" customHeight="1">
      <x:c r="A10" s="8" t="str">
        <x:v>Definition of Ready</x:v>
      </x:c>
      <x:c r="B10" s="8" t="str">
        <x:v>DoR-5</x:v>
      </x:c>
      <x:c r="C10" s="9" t="str">
        <x:v>não possui mais de 13 pontos;</x:v>
      </x:c>
      <x:c r="D10" s="9" t="str">
        <x:v>Antes de mover para READY</x:v>
      </x:c>
    </x:row>
    <x:row r="11" ht="40" customHeight="1">
      <x:c r="A11" s="8" t="str">
        <x:v>Definition of Ready</x:v>
      </x:c>
      <x:c r="B11" s="8" t="str">
        <x:v>DoR-6</x:v>
      </x:c>
      <x:c r="C11" s="9" t="str">
        <x:v>riscos de segurança, privacidade e multi-tenancy foram considerados.</x:v>
      </x:c>
      <x:c r="D11" s="9" t="str">
        <x:v>Antes de mover para READY</x:v>
      </x:c>
    </x:row>
    <x:row r="12" ht="40" customHeight="1">
      <x:c r="A12" s="8" t="str">
        <x:v>Definition of Done</x:v>
      </x:c>
      <x:c r="B12" s="8" t="str">
        <x:v>DoD-1</x:v>
      </x:c>
      <x:c r="C12" s="9" t="str">
        <x:v>critérios de aceite foram atendidos;</x:v>
      </x:c>
      <x:c r="D12" s="9" t="str">
        <x:v>Antes de mover para DONE</x:v>
      </x:c>
    </x:row>
    <x:row r="13" ht="40" customHeight="1">
      <x:c r="A13" s="8" t="str">
        <x:v>Definition of Done</x:v>
      </x:c>
      <x:c r="B13" s="8" t="str">
        <x:v>DoD-2</x:v>
      </x:c>
      <x:c r="C13" s="9" t="str">
        <x:v>autorização server-side e RLS foram verificadas quando aplicável;</x:v>
      </x:c>
      <x:c r="D13" s="9" t="str">
        <x:v>Antes de mover para DONE</x:v>
      </x:c>
    </x:row>
    <x:row r="14" ht="40" customHeight="1">
      <x:c r="A14" s="8" t="str">
        <x:v>Definition of Done</x:v>
      </x:c>
      <x:c r="B14" s="8" t="str">
        <x:v>DoD-3</x:v>
      </x:c>
      <x:c r="C14" s="9" t="str">
        <x:v>testes relevantes passaram;</x:v>
      </x:c>
      <x:c r="D14" s="9" t="str">
        <x:v>Antes de mover para DONE</x:v>
      </x:c>
    </x:row>
    <x:row r="15" ht="40" customHeight="1">
      <x:c r="A15" s="8" t="str">
        <x:v>Definition of Done</x:v>
      </x:c>
      <x:c r="B15" s="8" t="str">
        <x:v>DoD-4</x:v>
      </x:c>
      <x:c r="C15" s="9" t="str">
        <x:v>`npm run quality` passou;</x:v>
      </x:c>
      <x:c r="D15" s="9" t="str">
        <x:v>Antes de mover para DONE</x:v>
      </x:c>
    </x:row>
    <x:row r="16" ht="40" customHeight="1">
      <x:c r="A16" s="8" t="str">
        <x:v>Definition of Done</x:v>
      </x:c>
      <x:c r="B16" s="8" t="str">
        <x:v>DoD-5</x:v>
      </x:c>
      <x:c r="C16" s="9" t="str">
        <x:v>audit, Gitleaks, OpenGrep e ZAP aplicáveis passaram;</x:v>
      </x:c>
      <x:c r="D16" s="9" t="str">
        <x:v>Antes de mover para DONE</x:v>
      </x:c>
    </x:row>
    <x:row r="17" ht="40" customHeight="1">
      <x:c r="A17" s="8" t="str">
        <x:v>Definition of Done</x:v>
      </x:c>
      <x:c r="B17" s="8" t="str">
        <x:v>DoD-6</x:v>
      </x:c>
      <x:c r="C17" s="9" t="str">
        <x:v>entradas possuem validação, limites e tratamento de erro seguro;</x:v>
      </x:c>
      <x:c r="D17" s="9" t="str">
        <x:v>Antes de mover para DONE</x:v>
      </x:c>
    </x:row>
    <x:row r="18" ht="40" customHeight="1">
      <x:c r="A18" s="8" t="str">
        <x:v>Definition of Done</x:v>
      </x:c>
      <x:c r="B18" s="8" t="str">
        <x:v>DoD-7</x:v>
      </x:c>
      <x:c r="C18" s="9" t="str">
        <x:v>logs não contêm segredo ou dado pessoal desnecessário;</x:v>
      </x:c>
      <x:c r="D18" s="9" t="str">
        <x:v>Antes de mover para DONE</x:v>
      </x:c>
    </x:row>
    <x:row r="19" ht="40" customHeight="1">
      <x:c r="A19" s="8" t="str">
        <x:v>Definition of Done</x:v>
      </x:c>
      <x:c r="B19" s="8" t="str">
        <x:v>DoD-8</x:v>
      </x:c>
      <x:c r="C19" s="9" t="str">
        <x:v>documentação e migration foram atualizadas;</x:v>
      </x:c>
      <x:c r="D19" s="9" t="str">
        <x:v>Antes de mover para DONE</x:v>
      </x:c>
    </x:row>
    <x:row r="20" ht="40" customHeight="1">
      <x:c r="A20" s="8" t="str">
        <x:v>Definition of Done</x:v>
      </x:c>
      <x:c r="B20" s="8" t="str">
        <x:v>DoD-9</x:v>
      </x:c>
      <x:c r="C20" s="9" t="str">
        <x:v>fluxo relacionado foi testado, não apenas a tela alterada;</x:v>
      </x:c>
      <x:c r="D20" s="9" t="str">
        <x:v>Antes de mover para DONE</x:v>
      </x:c>
    </x:row>
    <x:row r="21" ht="40" customHeight="1">
      <x:c r="A21" s="8" t="str">
        <x:v>Definition of Done</x:v>
      </x:c>
      <x:c r="B21" s="8" t="str">
        <x:v>DoD-10</x:v>
      </x:c>
      <x:c r="C21" s="9" t="str">
        <x:v>homologação externa foi comprovada quando a issue depende de chave;</x:v>
      </x:c>
      <x:c r="D21" s="9" t="str">
        <x:v>Antes de mover para DONE</x:v>
      </x:c>
    </x:row>
    <x:row r="22" ht="40" customHeight="1">
      <x:c r="A22" s="8" t="str">
        <x:v>Definition of Done</x:v>
      </x:c>
      <x:c r="B22" s="8" t="str">
        <x:v>DoD-11</x:v>
      </x:c>
      <x:c r="C22" s="9" t="str">
        <x:v>release/rollback foram avaliados.</x:v>
      </x:c>
      <x:c r="D22" s="9" t="str">
        <x:v>Antes de mover para DONE</x:v>
      </x:c>
    </x:row>
    <x:row r="23" ht="40" customHeight="1">
      <x:c r="A23" s="8" t="str">
        <x:v>Saída do MVP</x:v>
      </x:c>
      <x:c r="B23" s="8" t="str">
        <x:v>MVP-1</x:v>
      </x:c>
      <x:c r="C23" s="9" t="str">
        <x:v>Dois usuários de organizações diferentes passam nos testes de isolamento.</x:v>
      </x:c>
      <x:c r="D23" s="9" t="str">
        <x:v>Antes do piloto/produção</x:v>
      </x:c>
    </x:row>
    <x:row r="24" ht="40" customHeight="1">
      <x:c r="A24" s="8" t="str">
        <x:v>Saída do MVP</x:v>
      </x:c>
      <x:c r="B24" s="8" t="str">
        <x:v>MVP-2</x:v>
      </x:c>
      <x:c r="C24" s="9" t="str">
        <x:v>Produto e cliente podem ser cadastrados/importados pelo painel.</x:v>
      </x:c>
      <x:c r="D24" s="9" t="str">
        <x:v>Antes do piloto/produção</x:v>
      </x:c>
    </x:row>
    <x:row r="25" ht="40" customHeight="1">
      <x:c r="A25" s="8" t="str">
        <x:v>Saída do MVP</x:v>
      </x:c>
      <x:c r="B25" s="8" t="str">
        <x:v>MVP-3</x:v>
      </x:c>
      <x:c r="C25" s="9" t="str">
        <x:v>Mensagem real assinada cria exatamente um pré-pedido.</x:v>
      </x:c>
      <x:c r="D25" s="9" t="str">
        <x:v>Antes do piloto/produção</x:v>
      </x:c>
    </x:row>
    <x:row r="26" ht="40" customHeight="1">
      <x:c r="A26" s="8" t="str">
        <x:v>Saída do MVP</x:v>
      </x:c>
      <x:c r="B26" s="8" t="str">
        <x:v>MVP-4</x:v>
      </x:c>
      <x:c r="C26" s="9" t="str">
        <x:v>Operador corrige ambiguidades e aprova o pedido.</x:v>
      </x:c>
      <x:c r="D26" s="9" t="str">
        <x:v>Antes do piloto/produção</x:v>
      </x:c>
    </x:row>
    <x:row r="27" ht="40" customHeight="1">
      <x:c r="A27" s="8" t="str">
        <x:v>Saída do MVP</x:v>
      </x:c>
      <x:c r="B27" s="8" t="str">
        <x:v>MVP-5</x:v>
      </x:c>
      <x:c r="C27" s="9" t="str">
        <x:v>Totais são recalculados no servidor.</x:v>
      </x:c>
      <x:c r="D27" s="9" t="str">
        <x:v>Antes do piloto/produção</x:v>
      </x:c>
    </x:row>
    <x:row r="28" ht="40" customHeight="1">
      <x:c r="A28" s="8" t="str">
        <x:v>Saída do MVP</x:v>
      </x:c>
      <x:c r="B28" s="8" t="str">
        <x:v>MVP-6</x:v>
      </x:c>
      <x:c r="C28" s="9" t="str">
        <x:v>NF-e de homologação é emitida uma única vez.</x:v>
      </x:c>
      <x:c r="D28" s="9" t="str">
        <x:v>Antes do piloto/produção</x:v>
      </x:c>
    </x:row>
    <x:row r="29" ht="40" customHeight="1">
      <x:c r="A29" s="8" t="str">
        <x:v>Saída do MVP</x:v>
      </x:c>
      <x:c r="B29" s="8" t="str">
        <x:v>MVP-7</x:v>
      </x:c>
      <x:c r="C29" s="9" t="str">
        <x:v>Autorização/rejeição fiscal é reconciliada.</x:v>
      </x:c>
      <x:c r="D29" s="9" t="str">
        <x:v>Antes do piloto/produção</x:v>
      </x:c>
    </x:row>
    <x:row r="30" ht="40" customHeight="1">
      <x:c r="A30" s="8" t="str">
        <x:v>Saída do MVP</x:v>
      </x:c>
      <x:c r="B30" s="8" t="str">
        <x:v>MVP-8</x:v>
      </x:c>
      <x:c r="C30" s="9" t="str">
        <x:v>DANFE/XML corretos ficam disponíveis e podem ser enviados.</x:v>
      </x:c>
      <x:c r="D30" s="9" t="str">
        <x:v>Antes do piloto/produção</x:v>
      </x:c>
    </x:row>
    <x:row r="31" ht="40" customHeight="1">
      <x:c r="A31" s="8" t="str">
        <x:v>Saída do MVP</x:v>
      </x:c>
      <x:c r="B31" s="8" t="str">
        <x:v>MVP-9</x:v>
      </x:c>
      <x:c r="C31" s="9" t="str">
        <x:v>Auditoria identifica quem aprovou e o que foi alterado.</x:v>
      </x:c>
      <x:c r="D31" s="9" t="str">
        <x:v>Antes do piloto/produção</x:v>
      </x:c>
    </x:row>
    <x:row r="32" ht="40" customHeight="1">
      <x:c r="A32" s="8" t="str">
        <x:v>Saída do MVP</x:v>
      </x:c>
      <x:c r="B32" s="8" t="str">
        <x:v>MVP-10</x:v>
      </x:c>
      <x:c r="C32" s="9" t="str">
        <x:v>Retentativas não duplicam mensagem, pedido ou nota.</x:v>
      </x:c>
      <x:c r="D32" s="9" t="str">
        <x:v>Antes do piloto/produção</x:v>
      </x:c>
    </x:row>
    <x:row r="33" ht="40" customHeight="1">
      <x:c r="A33" s="8" t="str">
        <x:v>Saída do MVP</x:v>
      </x:c>
      <x:c r="B33" s="8" t="str">
        <x:v>MVP-11</x:v>
      </x:c>
      <x:c r="C33" s="9" t="str">
        <x:v>Backups, alertas e runbooks mínimos foram testados.</x:v>
      </x:c>
      <x:c r="D33" s="9" t="str">
        <x:v>Antes do piloto/produção</x:v>
      </x:c>
    </x:row>
    <x:row r="34" ht="40" customHeight="1">
      <x:c r="A34" s="8" t="str">
        <x:v>Saída do MVP</x:v>
      </x:c>
      <x:c r="B34" s="8" t="str">
        <x:v>MVP-12</x:v>
      </x:c>
      <x:c r="C34" s="9" t="str">
        <x:v>Privacidade, termos, exclusão e dados do controlador foram revisados.</x:v>
      </x:c>
      <x:c r="D34" s="9" t="str">
        <x:v>Antes do piloto/produção</x:v>
      </x:c>
    </x:row>
    <x:row r="35" ht="40" customHeight="1">
      <x:c r="A35" s="8" t="str">
        <x:v>ZNF-EP01</x:v>
      </x:c>
      <x:c r="B35" s="8" t="str">
        <x:v>ZNF-EP01-AC1</x:v>
      </x:c>
      <x:c r="C35" s="9" t="str">
        <x:v>Nenhuma regra de negócio importante depende diretamente de SDK externo.</x:v>
      </x:c>
      <x:c r="D35" s="9" t="str">
        <x:v>Critério de aceite do épico</x:v>
      </x:c>
    </x:row>
    <x:row r="36" ht="40" customHeight="1">
      <x:c r="A36" s="8" t="str">
        <x:v>ZNF-EP01</x:v>
      </x:c>
      <x:c r="B36" s="8" t="str">
        <x:v>ZNF-EP01-AC2</x:v>
      </x:c>
      <x:c r="C36" s="9" t="str">
        <x:v>Integrações possuem interface, implementação real e fake de teste.</x:v>
      </x:c>
      <x:c r="D36" s="9" t="str">
        <x:v>Critério de aceite do épico</x:v>
      </x:c>
    </x:row>
    <x:row r="37" ht="40" customHeight="1">
      <x:c r="A37" s="8" t="str">
        <x:v>ZNF-EP01</x:v>
      </x:c>
      <x:c r="B37" s="8" t="str">
        <x:v>ZNF-EP01-AC3</x:v>
      </x:c>
      <x:c r="C37" s="9" t="str">
        <x:v>`npm run quality` e gates de segurança permanecem obrigatórios.</x:v>
      </x:c>
      <x:c r="D37" s="9" t="str">
        <x:v>Critério de aceite do épico</x:v>
      </x:c>
    </x:row>
    <x:row r="38" ht="40" customHeight="1">
      <x:c r="A38" s="8" t="str">
        <x:v>ZNF-EP01</x:v>
      </x:c>
      <x:c r="B38" s="8" t="str">
        <x:v>ZNF-EP01-AC4</x:v>
      </x:c>
      <x:c r="C38" s="9" t="str">
        <x:v>Nenhum arquivo de aplicação ultrapassa 1.000 linhas.</x:v>
      </x:c>
      <x:c r="D38" s="9" t="str">
        <x:v>Critério de aceite do épico</x:v>
      </x:c>
    </x:row>
    <x:row r="39" ht="40" customHeight="1">
      <x:c r="A39" s="8" t="str">
        <x:v>ZNF-EP02</x:v>
      </x:c>
      <x:c r="B39" s="8" t="str">
        <x:v>ZNF-EP02-AC1</x:v>
      </x:c>
      <x:c r="C39" s="9" t="str">
        <x:v>Usuário A não consegue ler, alterar ou inferir dados da empresa B por UI, API ou Data API.</x:v>
      </x:c>
      <x:c r="D39" s="9" t="str">
        <x:v>Critério de aceite do épico</x:v>
      </x:c>
    </x:row>
    <x:row r="40" ht="40" customHeight="1">
      <x:c r="A40" s="8" t="str">
        <x:v>ZNF-EP02</x:v>
      </x:c>
      <x:c r="B40" s="8" t="str">
        <x:v>ZNF-EP02-AC2</x:v>
      </x:c>
      <x:c r="C40" s="9" t="str">
        <x:v>Ocultar botão nunca é tratado como autorização.</x:v>
      </x:c>
      <x:c r="D40" s="9" t="str">
        <x:v>Critério de aceite do épico</x:v>
      </x:c>
    </x:row>
    <x:row r="41" ht="40" customHeight="1">
      <x:c r="A41" s="8" t="str">
        <x:v>ZNF-EP02</x:v>
      </x:c>
      <x:c r="B41" s="8" t="str">
        <x:v>ZNF-EP02-AC3</x:v>
      </x:c>
      <x:c r="C41" s="9" t="str">
        <x:v>Service role permanece exclusivamente no servidor.</x:v>
      </x:c>
      <x:c r="D41" s="9" t="str">
        <x:v>Critério de aceite do épico</x:v>
      </x:c>
    </x:row>
    <x:row r="42" ht="40" customHeight="1">
      <x:c r="A42" s="8" t="str">
        <x:v>ZNF-EP02</x:v>
      </x:c>
      <x:c r="B42" s="8" t="str">
        <x:v>ZNF-EP02-AC4</x:v>
      </x:c>
      <x:c r="C42" s="9" t="str">
        <x:v>Convite expirado, removido ou pertencente a outra organização é recusado.</x:v>
      </x:c>
      <x:c r="D42" s="9" t="str">
        <x:v>Critério de aceite do épico</x:v>
      </x:c>
    </x:row>
    <x:row r="43" ht="40" customHeight="1">
      <x:c r="A43" s="8" t="str">
        <x:v>ZNF-EP03</x:v>
      </x:c>
      <x:c r="B43" s="8" t="str">
        <x:v>ZNF-EP03-AC1</x:v>
      </x:c>
      <x:c r="C43" s="9" t="str">
        <x:v>O cliente entende o próximo passo sem precisar conhecer API, WABA ou Business Manager.</x:v>
      </x:c>
      <x:c r="D43" s="9" t="str">
        <x:v>Critério de aceite do épico</x:v>
      </x:c>
    </x:row>
    <x:row r="44" ht="40" customHeight="1">
      <x:c r="A44" s="8" t="str">
        <x:v>ZNF-EP03</x:v>
      </x:c>
      <x:c r="B44" s="8" t="str">
        <x:v>ZNF-EP03-AC2</x:v>
      </x:c>
      <x:c r="C44" s="9" t="str">
        <x:v>O backend é a única camada que trata código de autorização e tokens.</x:v>
      </x:c>
      <x:c r="D44" s="9" t="str">
        <x:v>Critério de aceite do épico</x:v>
      </x:c>
    </x:row>
    <x:row r="45" ht="40" customHeight="1">
      <x:c r="A45" s="8" t="str">
        <x:v>ZNF-EP03</x:v>
      </x:c>
      <x:c r="B45" s="8" t="str">
        <x:v>ZNF-EP03-AC3</x:v>
      </x:c>
      <x:c r="C45" s="9" t="str">
        <x:v>O checklist diferencia “configurado”, “testado” e “pronto para produção”.</x:v>
      </x:c>
      <x:c r="D45" s="9" t="str">
        <x:v>Critério de aceite do épico</x:v>
      </x:c>
    </x:row>
    <x:row r="46" ht="40" customHeight="1">
      <x:c r="A46" s="8" t="str">
        <x:v>ZNF-EP04</x:v>
      </x:c>
      <x:c r="B46" s="8" t="str">
        <x:v>ZNF-EP04-AC1</x:v>
      </x:c>
      <x:c r="C46" s="9" t="str">
        <x:v>SKU é único por empresa e alterações não afetam outra organização.</x:v>
      </x:c>
      <x:c r="D46" s="9" t="str">
        <x:v>Critério de aceite do épico</x:v>
      </x:c>
    </x:row>
    <x:row r="47" ht="40" customHeight="1">
      <x:c r="A47" s="8" t="str">
        <x:v>ZNF-EP04</x:v>
      </x:c>
      <x:c r="B47" s="8" t="str">
        <x:v>ZNF-EP04-AC2</x:v>
      </x:c>
      <x:c r="C47" s="9" t="str">
        <x:v>Importação não grava parcialmente quando o modo atômico estiver selecionado.</x:v>
      </x:c>
      <x:c r="D47" s="9" t="str">
        <x:v>Critério de aceite do épico</x:v>
      </x:c>
    </x:row>
    <x:row r="48" ht="40" customHeight="1">
      <x:c r="A48" s="8" t="str">
        <x:v>ZNF-EP04</x:v>
      </x:c>
      <x:c r="B48" s="8" t="str">
        <x:v>ZNF-EP04-AC3</x:v>
      </x:c>
      <x:c r="C48" s="9" t="str">
        <x:v>Alias melhora correspondência sem substituir o nome fiscal do produto.</x:v>
      </x:c>
      <x:c r="D48" s="9" t="str">
        <x:v>Critério de aceite do épico</x:v>
      </x:c>
    </x:row>
    <x:row r="49" ht="40" customHeight="1">
      <x:c r="A49" s="8" t="str">
        <x:v>ZNF-EP04</x:v>
      </x:c>
      <x:c r="B49" s="8" t="str">
        <x:v>ZNF-EP04-AC4</x:v>
      </x:c>
      <x:c r="C49" s="9" t="str">
        <x:v>Estoque não entra no MVP; apenas um campo informativo futuro pode ser preparado.</x:v>
      </x:c>
      <x:c r="D49" s="9" t="str">
        <x:v>Critério de aceite do épico</x:v>
      </x:c>
    </x:row>
    <x:row r="50" ht="40" customHeight="1">
      <x:c r="A50" s="8" t="str">
        <x:v>ZNF-EP05</x:v>
      </x:c>
      <x:c r="B50" s="8" t="str">
        <x:v>ZNF-EP05-AC1</x:v>
      </x:c>
      <x:c r="C50" s="9" t="str">
        <x:v>Totais exibidos e persistidos são calculados server-side.</x:v>
      </x:c>
      <x:c r="D50" s="9" t="str">
        <x:v>Critério de aceite do épico</x:v>
      </x:c>
    </x:row>
    <x:row r="51" ht="40" customHeight="1">
      <x:c r="A51" s="8" t="str">
        <x:v>ZNF-EP05</x:v>
      </x:c>
      <x:c r="B51" s="8" t="str">
        <x:v>ZNF-EP05-AC2</x:v>
      </x:c>
      <x:c r="C51" s="9" t="str">
        <x:v>Pedido com item sem produto, quantidade inválida ou dado fiscal ausente não pode faturar.</x:v>
      </x:c>
      <x:c r="D51" s="9" t="str">
        <x:v>Critério de aceite do épico</x:v>
      </x:c>
    </x:row>
    <x:row r="52" ht="40" customHeight="1">
      <x:c r="A52" s="8" t="str">
        <x:v>ZNF-EP05</x:v>
      </x:c>
      <x:c r="B52" s="8" t="str">
        <x:v>ZNF-EP05-AC3</x:v>
      </x:c>
      <x:c r="C52" s="9" t="str">
        <x:v>Toda transição inválida de status é rejeitada mesmo quando chamada fora da interface.</x:v>
      </x:c>
      <x:c r="D52" s="9" t="str">
        <x:v>Critério de aceite do épico</x:v>
      </x:c>
    </x:row>
    <x:row r="53" ht="40" customHeight="1">
      <x:c r="A53" s="8" t="str">
        <x:v>ZNF-EP05</x:v>
      </x:c>
      <x:c r="B53" s="8" t="str">
        <x:v>ZNF-EP05-AC4</x:v>
      </x:c>
      <x:c r="C53" s="9" t="str">
        <x:v>O botão Aprovar é idempotente e deixa trilha de auditoria.</x:v>
      </x:c>
      <x:c r="D53" s="9" t="str">
        <x:v>Critério de aceite do épico</x:v>
      </x:c>
    </x:row>
    <x:row r="54" ht="40" customHeight="1">
      <x:c r="A54" s="8" t="str">
        <x:v>ZNF-EP06</x:v>
      </x:c>
      <x:c r="B54" s="8" t="str">
        <x:v>ZNF-EP06-AC1</x:v>
      </x:c>
      <x:c r="C54" s="9" t="str">
        <x:v>O modelo só pode retornar IDs existentes no catálogo; o servidor confirma novamente.</x:v>
      </x:c>
      <x:c r="D54" s="9" t="str">
        <x:v>Critério de aceite do épico</x:v>
      </x:c>
    </x:row>
    <x:row r="55" ht="40" customHeight="1">
      <x:c r="A55" s="8" t="str">
        <x:v>ZNF-EP06</x:v>
      </x:c>
      <x:c r="B55" s="8" t="str">
        <x:v>ZNF-EP06-AC2</x:v>
      </x:c>
      <x:c r="C55" s="9" t="str">
        <x:v>Produto não identificado vira revisão humana, nunca item fiscal inventado.</x:v>
      </x:c>
      <x:c r="D55" s="9" t="str">
        <x:v>Critério de aceite do épico</x:v>
      </x:c>
    </x:row>
    <x:row r="56" ht="40" customHeight="1">
      <x:c r="A56" s="8" t="str">
        <x:v>ZNF-EP06</x:v>
      </x:c>
      <x:c r="B56" s="8" t="str">
        <x:v>ZNF-EP06-AC3</x:v>
      </x:c>
      <x:c r="C56" s="9" t="str">
        <x:v>Mensagens de não-pedido não criam pedido.</x:v>
      </x:c>
      <x:c r="D56" s="9" t="str">
        <x:v>Critério de aceite do épico</x:v>
      </x:c>
    </x:row>
    <x:row r="57" ht="40" customHeight="1">
      <x:c r="A57" s="8" t="str">
        <x:v>ZNF-EP06</x:v>
      </x:c>
      <x:c r="B57" s="8" t="str">
        <x:v>ZNF-EP06-AC4</x:v>
      </x:c>
      <x:c r="C57" s="9" t="str">
        <x:v>Meta inicial do piloto: pelo menos 90% dos itens reconhecidos corretamente no conjunto do nicho, sem aprovação automática.</x:v>
      </x:c>
      <x:c r="D57" s="9" t="str">
        <x:v>Critério de aceite do épico</x:v>
      </x:c>
    </x:row>
    <x:row r="58" ht="40" customHeight="1">
      <x:c r="A58" s="8" t="str">
        <x:v>ZNF-EP07</x:v>
      </x:c>
      <x:c r="B58" s="8" t="str">
        <x:v>ZNF-EP07-AC1</x:v>
      </x:c>
      <x:c r="C58" s="9" t="str">
        <x:v>`phone_number_id` resolve exatamente uma organização ativa.</x:v>
      </x:c>
      <x:c r="D58" s="9" t="str">
        <x:v>Critério de aceite do épico</x:v>
      </x:c>
    </x:row>
    <x:row r="59" ht="40" customHeight="1">
      <x:c r="A59" s="8" t="str">
        <x:v>ZNF-EP07</x:v>
      </x:c>
      <x:c r="B59" s="8" t="str">
        <x:v>ZNF-EP07-AC2</x:v>
      </x:c>
      <x:c r="C59" s="9" t="str">
        <x:v>Evento duplicado ou fora de ordem não duplica pedido nem regride status.</x:v>
      </x:c>
      <x:c r="D59" s="9" t="str">
        <x:v>Critério de aceite do épico</x:v>
      </x:c>
    </x:row>
    <x:row r="60" ht="40" customHeight="1">
      <x:c r="A60" s="8" t="str">
        <x:v>ZNF-EP07</x:v>
      </x:c>
      <x:c r="B60" s="8" t="str">
        <x:v>ZNF-EP07-AC3</x:v>
      </x:c>
      <x:c r="C60" s="9" t="str">
        <x:v>Token não aparece no navegador, logs, banco em texto aberto ou mensagens de erro.</x:v>
      </x:c>
      <x:c r="D60" s="9" t="str">
        <x:v>Critério de aceite do épico</x:v>
      </x:c>
    </x:row>
    <x:row r="61" ht="40" customHeight="1">
      <x:c r="A61" s="8" t="str">
        <x:v>ZNF-EP07</x:v>
      </x:c>
      <x:c r="B61" s="8" t="str">
        <x:v>ZNF-EP07-AC4</x:v>
      </x:c>
      <x:c r="C61" s="9" t="str">
        <x:v>Falha transitória é retentada com backoff e encaminhada para dead-letter após o limite.</x:v>
      </x:c>
      <x:c r="D61" s="9" t="str">
        <x:v>Critério de aceite do épico</x:v>
      </x:c>
    </x:row>
    <x:row r="62" ht="40" customHeight="1">
      <x:c r="A62" s="8" t="str">
        <x:v>ZNF-EP07</x:v>
      </x:c>
      <x:c r="B62" s="8" t="str">
        <x:v>ZNF-EP07-AC5</x:v>
      </x:c>
      <x:c r="C62" s="9" t="str">
        <x:v>Uso de WhatsApp Web não oficial permanece fora do produto comercial.</x:v>
      </x:c>
      <x:c r="D62" s="9" t="str">
        <x:v>Critério de aceite do épico</x:v>
      </x:c>
    </x:row>
    <x:row r="63" ht="40" customHeight="1">
      <x:c r="A63" s="8" t="str">
        <x:v>ZNF-EP08</x:v>
      </x:c>
      <x:c r="B63" s="8" t="str">
        <x:v>ZNF-EP08-AC1</x:v>
      </x:c>
      <x:c r="C63" s="9" t="str">
        <x:v>Toda primeira emissão ocorre em homologação.</x:v>
      </x:c>
      <x:c r="D63" s="9" t="str">
        <x:v>Critério de aceite do épico</x:v>
      </x:c>
    </x:row>
    <x:row r="64" ht="40" customHeight="1">
      <x:c r="A64" s="8" t="str">
        <x:v>ZNF-EP08</x:v>
      </x:c>
      <x:c r="B64" s="8" t="str">
        <x:v>ZNF-EP08-AC2</x:v>
      </x:c>
      <x:c r="C64" s="9" t="str">
        <x:v>Duplo clique, timeout ou retentativa usa a mesma referência e não duplica NF-e.</x:v>
      </x:c>
      <x:c r="D64" s="9" t="str">
        <x:v>Critério de aceite do épico</x:v>
      </x:c>
    </x:row>
    <x:row r="65" ht="40" customHeight="1">
      <x:c r="A65" s="8" t="str">
        <x:v>ZNF-EP08</x:v>
      </x:c>
      <x:c r="B65" s="8" t="str">
        <x:v>ZNF-EP08-AC3</x:v>
      </x:c>
      <x:c r="C65" s="9" t="str">
        <x:v>Pedido só vira `Faturado` após confirmação autorizada do provedor.</x:v>
      </x:c>
      <x:c r="D65" s="9" t="str">
        <x:v>Critério de aceite do épico</x:v>
      </x:c>
    </x:row>
    <x:row r="66" ht="40" customHeight="1">
      <x:c r="A66" s="8" t="str">
        <x:v>ZNF-EP08</x:v>
      </x:c>
      <x:c r="B66" s="8" t="str">
        <x:v>ZNF-EP08-AC4</x:v>
      </x:c>
      <x:c r="C66" s="9" t="str">
        <x:v>Rejeição fiscal mantém o pedido corrigível e não é apresentada como sucesso.</x:v>
      </x:c>
      <x:c r="D66" s="9" t="str">
        <x:v>Critério de aceite do épico</x:v>
      </x:c>
    </x:row>
    <x:row r="67" ht="40" customHeight="1">
      <x:c r="A67" s="8" t="str">
        <x:v>ZNF-EP08</x:v>
      </x:c>
      <x:c r="B67" s="8" t="str">
        <x:v>ZNF-EP08-AC5</x:v>
      </x:c>
      <x:c r="C67" s="9" t="str">
        <x:v>A1 e senha nunca são registrados em logs; retenção é mínima e documentada.</x:v>
      </x:c>
      <x:c r="D67" s="9" t="str">
        <x:v>Critério de aceite do épico</x:v>
      </x:c>
    </x:row>
    <x:row r="68" ht="40" customHeight="1">
      <x:c r="A68" s="8" t="str">
        <x:v>ZNF-EP09</x:v>
      </x:c>
      <x:c r="B68" s="8" t="str">
        <x:v>ZNF-EP09-AC1</x:v>
      </x:c>
      <x:c r="C68" s="9" t="str">
        <x:v>O link não revela caminho interno nem permite trocar organização/documento.</x:v>
      </x:c>
      <x:c r="D68" s="9" t="str">
        <x:v>Critério de aceite do épico</x:v>
      </x:c>
    </x:row>
    <x:row r="69" ht="40" customHeight="1">
      <x:c r="A69" s="8" t="str">
        <x:v>ZNF-EP09</x:v>
      </x:c>
      <x:c r="B69" s="8" t="str">
        <x:v>ZNF-EP09-AC2</x:v>
      </x:c>
      <x:c r="C69" s="9" t="str">
        <x:v>Reenvio não cria nova NF-e.</x:v>
      </x:c>
      <x:c r="D69" s="9" t="str">
        <x:v>Critério de aceite do épico</x:v>
      </x:c>
    </x:row>
    <x:row r="70" ht="40" customHeight="1">
      <x:c r="A70" s="8" t="str">
        <x:v>ZNF-EP09</x:v>
      </x:c>
      <x:c r="B70" s="8" t="str">
        <x:v>ZNF-EP09-AC3</x:v>
      </x:c>
      <x:c r="C70" s="9" t="str">
        <x:v>Status de entrega é idempotente e tolera eventos fora de ordem.</x:v>
      </x:c>
      <x:c r="D70" s="9" t="str">
        <x:v>Critério de aceite do épico</x:v>
      </x:c>
    </x:row>
    <x:row r="71" ht="40" customHeight="1">
      <x:c r="A71" s="8" t="str">
        <x:v>ZNF-EP09</x:v>
      </x:c>
      <x:c r="B71" s="8" t="str">
        <x:v>ZNF-EP09-AC4</x:v>
      </x:c>
      <x:c r="C71" s="9" t="str">
        <x:v>Mensagens comerciais seguem consentimento e regras vigentes da plataforma.</x:v>
      </x:c>
      <x:c r="D71" s="9" t="str">
        <x:v>Critério de aceite do épico</x:v>
      </x:c>
    </x:row>
    <x:row r="72" ht="40" customHeight="1">
      <x:c r="A72" s="8" t="str">
        <x:v>ZNF-EP10</x:v>
      </x:c>
      <x:c r="B72" s="8" t="str">
        <x:v>ZNF-EP10-AC1</x:v>
      </x:c>
      <x:c r="C72" s="9" t="str">
        <x:v>Nenhum segredo entra no Git, chat, bundle do navegador ou log.</x:v>
      </x:c>
      <x:c r="D72" s="9" t="str">
        <x:v>Critério de aceite do épico</x:v>
      </x:c>
    </x:row>
    <x:row r="73" ht="40" customHeight="1">
      <x:c r="A73" s="8" t="str">
        <x:v>ZNF-EP10</x:v>
      </x:c>
      <x:c r="B73" s="8" t="str">
        <x:v>ZNF-EP10-AC2</x:v>
      </x:c>
      <x:c r="C73" s="9" t="str">
        <x:v>Todas as tabelas expostas têm RLS, grants mínimos e testes positivos/negativos.</x:v>
      </x:c>
      <x:c r="D73" s="9" t="str">
        <x:v>Critério de aceite do épico</x:v>
      </x:c>
    </x:row>
    <x:row r="74" ht="40" customHeight="1">
      <x:c r="A74" s="8" t="str">
        <x:v>ZNF-EP10</x:v>
      </x:c>
      <x:c r="B74" s="8" t="str">
        <x:v>ZNF-EP10-AC3</x:v>
      </x:c>
      <x:c r="C74" s="9" t="str">
        <x:v>Solicitações de acesso, correção e exclusão têm protocolo e identidade verificada.</x:v>
      </x:c>
      <x:c r="D74" s="9" t="str">
        <x:v>Critério de aceite do épico</x:v>
      </x:c>
    </x:row>
    <x:row r="75" ht="40" customHeight="1">
      <x:c r="A75" s="8" t="str">
        <x:v>ZNF-EP10</x:v>
      </x:c>
      <x:c r="B75" s="8" t="str">
        <x:v>ZNF-EP10-AC4</x:v>
      </x:c>
      <x:c r="C75" s="9" t="str">
        <x:v>Incidentes têm responsável, classificação, evidências, contenção e prazo operacional definido.</x:v>
      </x:c>
      <x:c r="D75" s="9" t="str">
        <x:v>Critério de aceite do épico</x:v>
      </x:c>
    </x:row>
    <x:row r="76" ht="40" customHeight="1">
      <x:c r="A76" s="8" t="str">
        <x:v>ZNF-EP10</x:v>
      </x:c>
      <x:c r="B76" s="8" t="str">
        <x:v>ZNF-EP10-AC5</x:v>
      </x:c>
      <x:c r="C76" s="9" t="str">
        <x:v>Textos legais são revisados antes da produção e não prometem controles inexistentes.</x:v>
      </x:c>
      <x:c r="D76" s="9" t="str">
        <x:v>Critério de aceite do épico</x:v>
      </x:c>
    </x:row>
    <x:row r="77" ht="40" customHeight="1">
      <x:c r="A77" s="8" t="str">
        <x:v>ZNF-EP11</x:v>
      </x:c>
      <x:c r="B77" s="8" t="str">
        <x:v>ZNF-EP11-AC1</x:v>
      </x:c>
      <x:c r="C77" s="9" t="str">
        <x:v>É possível localizar um pedido usando IDs internos sem pesquisar conteúdo de mensagem em logs.</x:v>
      </x:c>
      <x:c r="D77" s="9" t="str">
        <x:v>Critério de aceite do épico</x:v>
      </x:c>
    </x:row>
    <x:row r="78" ht="40" customHeight="1">
      <x:c r="A78" s="8" t="str">
        <x:v>ZNF-EP11</x:v>
      </x:c>
      <x:c r="B78" s="8" t="str">
        <x:v>ZNF-EP11-AC2</x:v>
      </x:c>
      <x:c r="C78" s="9" t="str">
        <x:v>Reprocessamento é autorizado, auditado e idempotente.</x:v>
      </x:c>
      <x:c r="D78" s="9" t="str">
        <x:v>Critério de aceite do épico</x:v>
      </x:c>
    </x:row>
    <x:row r="79" ht="40" customHeight="1">
      <x:c r="A79" s="8" t="str">
        <x:v>ZNF-EP11</x:v>
      </x:c>
      <x:c r="B79" s="8" t="str">
        <x:v>ZNF-EP11-AC3</x:v>
      </x:c>
      <x:c r="C79" s="9" t="str">
        <x:v>Falha da Meta, Gemini, Supabase ou Focus é distinguível.</x:v>
      </x:c>
      <x:c r="D79" s="9" t="str">
        <x:v>Critério de aceite do épico</x:v>
      </x:c>
    </x:row>
    <x:row r="80" ht="40" customHeight="1">
      <x:c r="A80" s="8" t="str">
        <x:v>ZNF-EP12</x:v>
      </x:c>
      <x:c r="B80" s="8" t="str">
        <x:v>ZNF-EP12-AC1</x:v>
      </x:c>
      <x:c r="C80" s="9" t="str">
        <x:v>O caminho crítico tem teste automático e roteiro manual.</x:v>
      </x:c>
      <x:c r="D80" s="9" t="str">
        <x:v>Critério de aceite do épico</x:v>
      </x:c>
    </x:row>
    <x:row r="81" ht="40" customHeight="1">
      <x:c r="A81" s="8" t="str">
        <x:v>ZNF-EP12</x:v>
      </x:c>
      <x:c r="B81" s="8" t="str">
        <x:v>ZNF-EP12-AC2</x:v>
      </x:c>
      <x:c r="C81" s="9" t="str">
        <x:v>Build/Preview isolado não é aceito como prova de banco, RLS ou integração externa.</x:v>
      </x:c>
      <x:c r="D81" s="9" t="str">
        <x:v>Critério de aceite do épico</x:v>
      </x:c>
    </x:row>
    <x:row r="82" ht="40" customHeight="1">
      <x:c r="A82" s="8" t="str">
        <x:v>ZNF-EP12</x:v>
      </x:c>
      <x:c r="B82" s="8" t="str">
        <x:v>ZNF-EP12-AC3</x:v>
      </x:c>
      <x:c r="C82" s="9" t="str">
        <x:v>Toda migration tem teste, plano de rollback ou estratégia forward-only documentada.</x:v>
      </x:c>
      <x:c r="D82" s="9" t="str">
        <x:v>Critério de aceite do épico</x:v>
      </x:c>
    </x:row>
    <x:row r="83" ht="40" customHeight="1">
      <x:c r="A83" s="8" t="str">
        <x:v>ZNF-EP12</x:v>
      </x:c>
      <x:c r="B83" s="8" t="str">
        <x:v>ZNF-EP12-AC4</x:v>
      </x:c>
      <x:c r="C83" s="9" t="str">
        <x:v>Produção exige aprovação explícita após homologação.</x:v>
      </x:c>
      <x:c r="D83" s="9" t="str">
        <x:v>Critério de aceite do épico</x:v>
      </x:c>
    </x:row>
    <x:row r="84" ht="40" customHeight="1">
      <x:c r="A84" s="8" t="str">
        <x:v>ZNF-EP13</x:v>
      </x:c>
      <x:c r="B84" s="8" t="str">
        <x:v>ZNF-EP13-AC1</x:v>
      </x:c>
      <x:c r="C84" s="9" t="str">
        <x:v>Métrica principal: minutos humanos por pedido faturado.</x:v>
      </x:c>
      <x:c r="D84" s="9" t="str">
        <x:v>Critério de aceite do épico</x:v>
      </x:c>
    </x:row>
    <x:row r="85" ht="40" customHeight="1">
      <x:c r="A85" s="8" t="str">
        <x:v>ZNF-EP13</x:v>
      </x:c>
      <x:c r="B85" s="8" t="str">
        <x:v>ZNF-EP13-AC2</x:v>
      </x:c>
      <x:c r="C85" s="9" t="str">
        <x:v>Métricas auxiliares: taxa de itens corrigidos, tempo até conferência, erros fiscais e disponibilidade.</x:v>
      </x:c>
      <x:c r="D85" s="9" t="str">
        <x:v>Critério de aceite do épico</x:v>
      </x:c>
    </x:row>
    <x:row r="86" ht="40" customHeight="1">
      <x:c r="A86" s="8" t="str">
        <x:v>ZNF-EP13</x:v>
      </x:c>
      <x:c r="B86" s="8" t="str">
        <x:v>ZNF-EP13-AC3</x:v>
      </x:c>
      <x:c r="C86" s="9" t="str">
        <x:v>Nenhum novo módulo grande entra apenas por opinião isolada.</x:v>
      </x:c>
      <x:c r="D86" s="9" t="str">
        <x:v>Critério de aceite do épico</x:v>
      </x:c>
    </x:row>
    <x:row r="87" ht="40" customHeight="1">
      <x:c r="A87" s="8" t="str">
        <x:v>ZNF-EP13</x:v>
      </x:c>
      <x:c r="B87" s="8" t="str">
        <x:v>ZNF-EP13-AC4</x:v>
      </x:c>
      <x:c r="C87" s="9" t="str">
        <x:v>A expansão ocorre quando o caminho principal é repetível e seguro.</x:v>
      </x:c>
      <x:c r="D87" s="9" t="str">
        <x:v>Critério de aceite do épico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069397ee51d4c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6" hidden="0" customWidth="1"/>
    <x:col min="3" max="3" width="42" hidden="0" customWidth="1"/>
    <x:col min="4" max="4" width="42" hidden="0" customWidth="1"/>
  </x:cols>
  <x:sheetData>
    <x:row r="1" ht="34" customHeight="1">
      <x:c r="A1" s="3" t="str">
        <x:v>ZapNFe | Referências</x:v>
      </x:c>
      <x:c r="B1" s="3" t="str">
        <x:v>ZapNFe | Referências</x:v>
      </x:c>
      <x:c r="C1" s="3" t="str">
        <x:v>ZapNFe | Referências</x:v>
      </x:c>
      <x:c r="D1" s="3" t="str">
        <x:v>ZapNFe | Referências</x:v>
      </x:c>
    </x:row>
    <x:row r="2" ht="24" customHeight="1">
      <x:c r="A2" s="6" t="str">
        <x:v>Fontes usadas para estruturar e refinar o backlog</x:v>
      </x:c>
      <x:c r="B2" s="6" t="str">
        <x:v>Fontes usadas para estruturar e refinar o backlog</x:v>
      </x:c>
      <x:c r="C2" s="6" t="str">
        <x:v>Fontes usadas para estruturar e refinar o backlog</x:v>
      </x:c>
      <x:c r="D2" s="6" t="str">
        <x:v>Fontes usadas para estruturar e refinar o backlog</x:v>
      </x:c>
    </x:row>
    <x:row r="5">
      <x:c r="A5" t="str">
        <x:v>Fonte</x:v>
      </x:c>
      <x:c r="B5" t="str">
        <x:v>URL/Caminho</x:v>
      </x:c>
      <x:c r="C5" t="str">
        <x:v>Uso</x:v>
      </x:c>
      <x:c r="D5" t="str">
        <x:v>Observação</x:v>
      </x:c>
    </x:row>
    <x:row r="6" ht="42" customHeight="1">
      <x:c r="A6" s="9" t="str">
        <x:v>Roadmap fonte</x:v>
      </x:c>
      <x:c r="B6" s="9" t="str">
        <x:v>C:\Users\guthierre\Documents\Codex\zapnfe\docs\ROADMAP_JIRA.md</x:v>
      </x:c>
      <x:c r="C6" s="9" t="str">
        <x:v>Fonte do backlog</x:v>
      </x:c>
      <x:c r="D6" s="9" t="str">
        <x:v>Versão de 25/08/2026</x:v>
      </x:c>
    </x:row>
    <x:row r="7" ht="42" customHeight="1">
      <x:c r="A7" s="9" t="str">
        <x:v>Supabase — Row Level Security</x:v>
      </x:c>
      <x:c r="B7" s="9" t="str">
        <x:v>https://supabase.com/docs/guides/database/postgres/row-level-security</x:v>
      </x:c>
      <x:c r="C7" s="9" t="str">
        <x:v>Refinamento técnico e critérios de aceite</x:v>
      </x:c>
      <x:c r="D7" s="9" t="str">
        <x:v>Revalidar antes da implementação externa</x:v>
      </x:c>
    </x:row>
    <x:row r="8" ht="42" customHeight="1">
      <x:c r="A8" s="9" t="str">
        <x:v>Supabase — Auth</x:v>
      </x:c>
      <x:c r="B8" s="9" t="str">
        <x:v>https://supabase.com/docs/guides/auth</x:v>
      </x:c>
      <x:c r="C8" s="9" t="str">
        <x:v>Refinamento técnico e critérios de aceite</x:v>
      </x:c>
      <x:c r="D8" s="9" t="str">
        <x:v>Revalidar antes da implementação externa</x:v>
      </x:c>
    </x:row>
    <x:row r="9" ht="42" customHeight="1">
      <x:c r="A9" s="9" t="str">
        <x:v>Focus NFe — Emitir NF-e</x:v>
      </x:c>
      <x:c r="B9" s="9" t="str">
        <x:v>https://doc.focusnfe.com.br/reference/emitir_nfe</x:v>
      </x:c>
      <x:c r="C9" s="9" t="str">
        <x:v>Refinamento técnico e critérios de aceite</x:v>
      </x:c>
      <x:c r="D9" s="9" t="str">
        <x:v>Revalidar antes da implementação externa</x:v>
      </x:c>
    </x:row>
    <x:row r="10" ht="42" customHeight="1">
      <x:c r="A10" s="9" t="str">
        <x:v>Focus NFe — Webhooks</x:v>
      </x:c>
      <x:c r="B10" s="9" t="str">
        <x:v>https://doc.focusnfe.com.br/reference/webhooks</x:v>
      </x:c>
      <x:c r="C10" s="9" t="str">
        <x:v>Refinamento técnico e critérios de aceite</x:v>
      </x:c>
      <x:c r="D10" s="9" t="str">
        <x:v>Revalidar antes da implementação externa</x:v>
      </x:c>
    </x:row>
    <x:row r="11" ht="42" customHeight="1">
      <x:c r="A11" s="9" t="str">
        <x:v>Next.js — Content Security Policy</x:v>
      </x:c>
      <x:c r="B11" s="9" t="str">
        <x:v>https://nextjs.org/docs/app/guides/content-security-policy</x:v>
      </x:c>
      <x:c r="C11" s="9" t="str">
        <x:v>Refinamento técnico e critérios de aceite</x:v>
      </x:c>
      <x:c r="D11" s="9" t="str">
        <x:v>Revalidar antes da implementação externa</x:v>
      </x:c>
    </x:row>
    <x:row r="12" ht="42" customHeight="1">
      <x:c r="A12" s="9" t="str">
        <x:v>OWASP ZAP — Baseline Scan</x:v>
      </x:c>
      <x:c r="B12" s="9" t="str">
        <x:v>https://www.zaproxy.org/docs/docker/baseline-scan/</x:v>
      </x:c>
      <x:c r="C12" s="9" t="str">
        <x:v>Refinamento técnico e critérios de aceite</x:v>
      </x:c>
      <x:c r="D12" s="9" t="str">
        <x:v>Revalidar antes da implementação externa</x:v>
      </x:c>
    </x:row>
    <x:row r="13" ht="42" customHeight="1">
      <x:c r="A13" s="9" t="str">
        <x:v>ANPD — Direitos dos titulares</x:v>
      </x:c>
      <x:c r="B13" s="9" t="str">
        <x:v>https://www.gov.br/anpd/pt-br/assuntos/titular-de-dados-1/direito-dos-titulares</x:v>
      </x:c>
      <x:c r="C13" s="9" t="str">
        <x:v>Refinamento técnico e critérios de aceite</x:v>
      </x:c>
      <x:c r="D13" s="9" t="str">
        <x:v>Revalidar antes da implementação externa</x:v>
      </x:c>
    </x:row>
    <x:row r="14" ht="42" customHeight="1">
      <x:c r="A14" s="9" t="str">
        <x:v>LGPD — Lei nº 13.709/2018</x:v>
      </x:c>
      <x:c r="B14" s="9" t="str">
        <x:v>https://www.planalto.gov.br/ccivil_03/_ato2015-2018/2018/lei/l13709compilado.htm</x:v>
      </x:c>
      <x:c r="C14" s="9" t="str">
        <x:v>Refinamento técnico e critérios de aceite</x:v>
      </x:c>
      <x:c r="D14" s="9" t="str">
        <x:v>Revalidar antes da implementação externa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094c9543f354c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18" hidden="0" customWidth="1"/>
    <x:col min="5" max="5" width="14" hidden="0" customWidth="1"/>
    <x:col min="6" max="6" width="16" hidden="0" customWidth="1"/>
  </x:cols>
  <x:sheetData>
    <x:row r="1" ht="34" customHeight="1">
      <x:c r="A1" s="3" t="str">
        <x:v>ZapNFe | Configuração</x:v>
      </x:c>
      <x:c r="B1" s="3" t="str">
        <x:v>ZapNFe | Configuração</x:v>
      </x:c>
      <x:c r="C1" s="3" t="str">
        <x:v>ZapNFe | Configuração</x:v>
      </x:c>
      <x:c r="D1" s="3" t="str">
        <x:v>ZapNFe | Configuração</x:v>
      </x:c>
      <x:c r="E1" s="3" t="str">
        <x:v>ZapNFe | Configuração</x:v>
      </x:c>
      <x:c r="F1" s="3" t="str">
        <x:v>ZapNFe | Configuração</x:v>
      </x:c>
    </x:row>
    <x:row r="2" ht="24" customHeight="1">
      <x:c r="A2" s="6" t="str">
        <x:v>Listas e convenções editáveis do workbook</x:v>
      </x:c>
      <x:c r="B2" s="6" t="str">
        <x:v>Listas e convenções editáveis do workbook</x:v>
      </x:c>
      <x:c r="C2" s="6" t="str">
        <x:v>Listas e convenções editáveis do workbook</x:v>
      </x:c>
      <x:c r="D2" s="6" t="str">
        <x:v>Listas e convenções editáveis do workbook</x:v>
      </x:c>
      <x:c r="E2" s="6" t="str">
        <x:v>Listas e convenções editáveis do workbook</x:v>
      </x:c>
      <x:c r="F2" s="6" t="str">
        <x:v>Listas e convenções editáveis do workbook</x:v>
      </x:c>
    </x:row>
    <x:row r="5" ht="27" customHeight="1">
      <x:c r="A5" s="16" t="str">
        <x:v>Status</x:v>
      </x:c>
      <x:c r="B5" s="17" t="str">
        <x:v>Prioridade</x:v>
      </x:c>
      <x:c r="C5" s="17" t="str">
        <x:v>Responsável</x:v>
      </x:c>
      <x:c r="D5" s="17" t="str">
        <x:v>Sprint</x:v>
      </x:c>
      <x:c r="E5" s="17" t="str">
        <x:v>Release</x:v>
      </x:c>
      <x:c r="F5" s="18" t="str">
        <x:v>Tipo</x:v>
      </x:c>
    </x:row>
    <x:row r="6">
      <x:c r="A6" s="19" t="str">
        <x:v>BACKLOG</x:v>
      </x:c>
      <x:c r="B6" s="20" t="str">
        <x:v>P0</x:v>
      </x:c>
      <x:c r="C6" s="20" t="str">
        <x:v>Não atribuído</x:v>
      </x:c>
      <x:c r="D6" s="20" t="str">
        <x:v>Concluído</x:v>
      </x:c>
      <x:c r="E6" s="20" t="str">
        <x:v>R0</x:v>
      </x:c>
      <x:c r="F6" s="21" t="str">
        <x:v>Story</x:v>
      </x:c>
    </x:row>
    <x:row r="7">
      <x:c r="A7" s="19" t="str">
        <x:v>READY</x:v>
      </x:c>
      <x:c r="B7" s="20" t="str">
        <x:v>P1</x:v>
      </x:c>
      <x:c r="C7" s="20" t="str">
        <x:v>Guthierre</x:v>
      </x:c>
      <x:c r="D7" s="20" t="str">
        <x:v>Sprint 1</x:v>
      </x:c>
      <x:c r="E7" s="20" t="str">
        <x:v>R1</x:v>
      </x:c>
      <x:c r="F7" s="21" t="str">
        <x:v>Task</x:v>
      </x:c>
    </x:row>
    <x:row r="8">
      <x:c r="A8" s="19" t="str">
        <x:v>IN PROGRESS</x:v>
      </x:c>
      <x:c r="B8" s="20" t="str">
        <x:v>P2</x:v>
      </x:c>
      <x:c r="C8" s="20" t="str">
        <x:v>Codex</x:v>
      </x:c>
      <x:c r="D8" s="20" t="str">
        <x:v>Sprint 2</x:v>
      </x:c>
      <x:c r="E8" s="20" t="str">
        <x:v>R2</x:v>
      </x:c>
      <x:c r="F8" s="21" t="str">
        <x:v>Spike</x:v>
      </x:c>
    </x:row>
    <x:row r="9">
      <x:c r="A9" s="19" t="str">
        <x:v>CODE REVIEW</x:v>
      </x:c>
      <x:c r="B9" s="20" t="str">
        <x:v>P3</x:v>
      </x:c>
      <x:c r="C9" s="20" t="str">
        <x:v>Fiscal</x:v>
      </x:c>
      <x:c r="D9" s="20" t="str">
        <x:v>Sprint 3–4</x:v>
      </x:c>
      <x:c r="E9" s="20" t="str">
        <x:v>R3</x:v>
      </x:c>
      <x:c r="F9" s="21" t="str">
        <x:v>Bug</x:v>
      </x:c>
    </x:row>
    <x:row r="10">
      <x:c r="A10" s="19" t="str">
        <x:v>QA</x:v>
      </x:c>
      <x:c r="B10" s="20" t="str"/>
      <x:c r="C10" s="20" t="str">
        <x:v>Jurídico</x:v>
      </x:c>
      <x:c r="D10" s="20" t="str">
        <x:v>Sprint 5–6</x:v>
      </x:c>
      <x:c r="E10" s="20" t="str">
        <x:v>R4</x:v>
      </x:c>
      <x:c r="F10" s="21" t="str">
        <x:v>Epic futuro</x:v>
      </x:c>
    </x:row>
    <x:row r="11">
      <x:c r="A11" s="19" t="str">
        <x:v>BLOCKED</x:v>
      </x:c>
      <x:c r="B11" s="20" t="str"/>
      <x:c r="C11" s="20" t="str">
        <x:v>Cliente piloto</x:v>
      </x:c>
      <x:c r="D11" s="20" t="str">
        <x:v>Sprint 7–8</x:v>
      </x:c>
      <x:c r="E11" s="20" t="str">
        <x:v>R5</x:v>
      </x:c>
      <x:c r="F11" s="21" t="str"/>
    </x:row>
    <x:row r="12">
      <x:c r="A12" s="19" t="str">
        <x:v>PARTIAL</x:v>
      </x:c>
      <x:c r="B12" s="20" t="str"/>
      <x:c r="C12" s="20" t="str"/>
      <x:c r="D12" s="20" t="str">
        <x:v>Sprint 9–10</x:v>
      </x:c>
      <x:c r="E12" s="20" t="str">
        <x:v>R6</x:v>
      </x:c>
      <x:c r="F12" s="21" t="str"/>
    </x:row>
    <x:row r="13">
      <x:c r="A13" s="19" t="str">
        <x:v>DONE</x:v>
      </x:c>
      <x:c r="B13" s="20" t="str"/>
      <x:c r="C13" s="20" t="str"/>
      <x:c r="D13" s="20" t="str">
        <x:v>Backlog</x:v>
      </x:c>
      <x:c r="E13" s="20" t="str">
        <x:v>Transversal</x:v>
      </x:c>
      <x:c r="F13" s="21" t="str"/>
    </x:row>
    <x:row r="14">
      <x:c r="A14" s="22" t="str">
        <x:v>ICEBOX</x:v>
      </x:c>
      <x:c r="B14" s="23" t="str"/>
      <x:c r="C14" s="23" t="str"/>
      <x:c r="D14" s="23" t="str">
        <x:v>Pós-MVP</x:v>
      </x:c>
      <x:c r="E14" s="23" t="str"/>
      <x:c r="F14" s="24" t="str"/>
    </x:row>
  </x:sheetData>
  <x:mergeCells>
    <x:mergeCell ref="A1:F1"/>
    <x:mergeCell ref="A2:F2"/>
  </x:mergeCells>
  <x:pageMargins left="0.7" right="0.7" top="0.75" bottom="0.75" header="0.3" footer="0.3"/>
</x:worksheet>
</file>